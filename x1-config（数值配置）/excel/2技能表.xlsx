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Sheet1" sheetId="1" r:id="rId1"/>
  </sheets>
  <definedNames>
    <definedName name="_xlnm._FilterDatabase" localSheetId="0" hidden="1">Sheet1!$A$1:$AJ$410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Administrator</author>
    <author>作者</author>
  </authors>
  <commentList>
    <comment ref="E5" authorId="0">
      <text>
        <r>
          <rPr>
            <b/>
            <sz val="9"/>
            <rFont val="宋体"/>
            <charset val="134"/>
          </rPr>
          <t>Administrator:</t>
        </r>
        <r>
          <rPr>
            <sz val="9"/>
            <rFont val="宋体"/>
            <charset val="134"/>
          </rPr>
          <t xml:space="preserve">
技能面板调用
图标id与美术资源总表同步</t>
        </r>
      </text>
    </comment>
    <comment ref="F5" authorId="1">
      <text>
        <r>
          <rPr>
            <sz val="9"/>
            <rFont val="宋体"/>
            <charset val="134"/>
          </rPr>
          <t>处理不同类型逻辑时需要
1.普攻
2.主动技能
3.被动技能</t>
        </r>
      </text>
    </comment>
    <comment ref="Q5" authorId="0">
      <text>
        <r>
          <rPr>
            <b/>
            <sz val="9"/>
            <rFont val="宋体"/>
            <charset val="134"/>
          </rPr>
          <t>Administrator:</t>
        </r>
        <r>
          <rPr>
            <sz val="9"/>
            <rFont val="宋体"/>
            <charset val="134"/>
          </rPr>
          <t xml:space="preserve">
-1无效果
效果ID对应技能效果配置表的ID字段</t>
        </r>
      </text>
    </comment>
    <comment ref="V5" authorId="1">
      <text>
        <r>
          <rPr>
            <sz val="9"/>
            <rFont val="宋体"/>
            <charset val="134"/>
          </rPr>
          <t>效果值
(对应属性表技能伤害比例)
前面伤害类型伤害类  取伤害
前面伤害类型为治疗类  取治疗</t>
        </r>
      </text>
    </comment>
    <comment ref="W5" authorId="0">
      <text/>
    </comment>
    <comment ref="Y5" authorId="0">
      <text>
        <r>
          <rPr>
            <b/>
            <sz val="9"/>
            <rFont val="宋体"/>
            <charset val="134"/>
          </rPr>
          <t>Administrator:</t>
        </r>
        <r>
          <rPr>
            <sz val="9"/>
            <rFont val="宋体"/>
            <charset val="134"/>
          </rPr>
          <t xml:space="preserve">
</t>
        </r>
      </text>
    </comment>
    <comment ref="AA5" authorId="1">
      <text>
        <r>
          <rPr>
            <b/>
            <sz val="9"/>
            <rFont val="宋体"/>
            <charset val="134"/>
          </rPr>
          <t>技能冷却时间/ms
额外触发条件时，此列配置-1</t>
        </r>
      </text>
    </comment>
    <comment ref="AB5" authorId="0">
      <text>
        <r>
          <rPr>
            <b/>
            <sz val="9"/>
            <rFont val="宋体"/>
            <charset val="134"/>
          </rPr>
          <t>Administrator:</t>
        </r>
        <r>
          <rPr>
            <sz val="9"/>
            <rFont val="宋体"/>
            <charset val="134"/>
          </rPr>
          <t xml:space="preserve">
1普攻x次后触发
1#次数
2受击x次后触发
2#次数
注：第x+1次触发</t>
        </r>
      </text>
    </comment>
    <comment ref="AC5" authorId="0">
      <text>
        <r>
          <rPr>
            <b/>
            <sz val="9"/>
            <rFont val="宋体"/>
            <charset val="134"/>
          </rPr>
          <t>Administrator:</t>
        </r>
        <r>
          <rPr>
            <sz val="9"/>
            <rFont val="宋体"/>
            <charset val="134"/>
          </rPr>
          <t xml:space="preserve">
攻击特效出现后移动是否打断技能施法且进入CD
0：无效果
1：停止施法
2：继续施法</t>
        </r>
      </text>
    </comment>
    <comment ref="AG5" authorId="0">
      <text>
        <r>
          <rPr>
            <b/>
            <sz val="9"/>
            <rFont val="宋体"/>
            <charset val="134"/>
          </rPr>
          <t>Administrator:</t>
        </r>
        <r>
          <rPr>
            <sz val="9"/>
            <rFont val="宋体"/>
            <charset val="134"/>
          </rPr>
          <t xml:space="preserve">
</t>
        </r>
      </text>
    </comment>
    <comment ref="AH5" authorId="0">
      <text/>
    </comment>
    <comment ref="AJ5" authorId="0">
      <text>
        <r>
          <rPr>
            <b/>
            <sz val="9"/>
            <rFont val="宋体"/>
            <charset val="134"/>
          </rPr>
          <t>Administrator:</t>
        </r>
        <r>
          <rPr>
            <sz val="9"/>
            <rFont val="宋体"/>
            <charset val="134"/>
          </rPr>
          <t xml:space="preserve">
技能战力
计算战力时调用</t>
        </r>
      </text>
    </comment>
    <comment ref="AK5" authorId="0">
      <text>
        <r>
          <rPr>
            <b/>
            <sz val="9"/>
            <rFont val="宋体"/>
            <charset val="134"/>
          </rPr>
          <t>Administrator:</t>
        </r>
        <r>
          <rPr>
            <sz val="9"/>
            <rFont val="宋体"/>
            <charset val="134"/>
          </rPr>
          <t xml:space="preserve">
0不显示；
1预警显示3秒；
2预警直接出现；</t>
        </r>
      </text>
    </comment>
  </commentList>
</comments>
</file>

<file path=xl/sharedStrings.xml><?xml version="1.0" encoding="utf-8"?>
<sst xmlns="http://schemas.openxmlformats.org/spreadsheetml/2006/main" count="1921" uniqueCount="769">
  <si>
    <t>#name SkillLevel</t>
  </si>
  <si>
    <t>#unique id</t>
  </si>
  <si>
    <t>#index skillId level</t>
  </si>
  <si>
    <t>id</t>
  </si>
  <si>
    <t>skillId</t>
  </si>
  <si>
    <t>name</t>
  </si>
  <si>
    <t>comment</t>
  </si>
  <si>
    <t>icon</t>
  </si>
  <si>
    <t>skillType</t>
  </si>
  <si>
    <t>level</t>
  </si>
  <si>
    <t>describe</t>
  </si>
  <si>
    <t>dmgType</t>
  </si>
  <si>
    <t>specialEffect</t>
  </si>
  <si>
    <t>targetType</t>
  </si>
  <si>
    <t>atkRange</t>
  </si>
  <si>
    <t>actionId</t>
  </si>
  <si>
    <t>selectType</t>
  </si>
  <si>
    <t>rangeWay</t>
  </si>
  <si>
    <t>targetLimit</t>
  </si>
  <si>
    <t>skillEffectId</t>
  </si>
  <si>
    <t>skillEffectId1</t>
  </si>
  <si>
    <t>nailAttr</t>
  </si>
  <si>
    <t>passiveAttr</t>
  </si>
  <si>
    <t>fixValue</t>
  </si>
  <si>
    <t>skillFactor</t>
  </si>
  <si>
    <t>raiseHandTime</t>
  </si>
  <si>
    <t>atkFrame</t>
  </si>
  <si>
    <t>actionTime</t>
  </si>
  <si>
    <t>skillTime</t>
  </si>
  <si>
    <t>cdTime</t>
  </si>
  <si>
    <t>extraCd</t>
  </si>
  <si>
    <t>cease</t>
  </si>
  <si>
    <t>buffMoment</t>
  </si>
  <si>
    <t>buffs</t>
  </si>
  <si>
    <t>specialCondition</t>
  </si>
  <si>
    <t>specialEffect1</t>
  </si>
  <si>
    <t>moveType</t>
  </si>
  <si>
    <t>moveVariate</t>
  </si>
  <si>
    <t>fighting</t>
  </si>
  <si>
    <t>skillWarning</t>
  </si>
  <si>
    <t>int</t>
  </si>
  <si>
    <t>lang</t>
  </si>
  <si>
    <t>string</t>
  </si>
  <si>
    <t>attr[]</t>
  </si>
  <si>
    <t>keyv</t>
  </si>
  <si>
    <r>
      <rPr>
        <sz val="11"/>
        <color theme="1"/>
        <rFont val="微软雅黑"/>
        <charset val="134"/>
      </rPr>
      <t>buff</t>
    </r>
    <r>
      <rPr>
        <sz val="11"/>
        <color theme="1"/>
        <rFont val="微软雅黑"/>
        <charset val="134"/>
      </rPr>
      <t>[]</t>
    </r>
  </si>
  <si>
    <t>long</t>
  </si>
  <si>
    <t>*</t>
  </si>
  <si>
    <t>-</t>
  </si>
  <si>
    <t>C</t>
  </si>
  <si>
    <t>技能ID
4000000+伙伴ID*1000+技能顺序ID+技能等级</t>
  </si>
  <si>
    <t>技能组ID</t>
  </si>
  <si>
    <t>名称</t>
  </si>
  <si>
    <t>名称备注</t>
  </si>
  <si>
    <t>技能图标</t>
  </si>
  <si>
    <t>技能标签</t>
  </si>
  <si>
    <t>技能等级</t>
  </si>
  <si>
    <t>技能描述：
技能面板调用
支持富文本&amp;跳转链接功能</t>
  </si>
  <si>
    <t>效果类型
1、近战伤害
2、技能伤害
4、附加buff</t>
  </si>
  <si>
    <t>效果参数
3、治疗：系数类型（1施法者攻击百分比；2目标生命上限百分比）
- 治疗系数在伤害比例字段配置
5、复活：系统类型（1施法者攻击百分比；2目标生命上限百分比）
- 治疗系数在伤害比例字段配置
6、弹射：子弹ID#弹射次数#伤害系数（3000表示30%，打击多少次填多少个）
7、子弹伤害：子弹ID#子弹类型（1矩形；2扇形）#子弹数量#射击方式（1平射；2抛物线）#范围参数（1间隔距离；2夹角）</t>
  </si>
  <si>
    <t>作用对象
1自己
2己方
3敌方
4己方除自己
99.无(不调用相应技能指令；处理技能1替代普攻类伙伴)</t>
  </si>
  <si>
    <t>攻击距离
技能攻击距离/像素
距离算施法者和目标的中心点距离</t>
  </si>
  <si>
    <t>动作名称
0：无动作
1：普攻
2：技能1
3：技能2</t>
  </si>
  <si>
    <t>目标选择
1：距离最近的目标
2：以自身为中心
3：以目标为中心
4：以受击目标为中心
5：生命最低的单位（百分比）
6：生命最少的单位（生命值）
7：已死亡己方（复活技能使用）</t>
  </si>
  <si>
    <t>作用范围
格式：范围类型#类型参数
0：读攻击距离
1：圆形，配置格式：1#半径
2：矩形，配置格式：2#宽度#长度
3：扇形，配置格式：3#夹角度数#半径</t>
  </si>
  <si>
    <t xml:space="preserve">目标数量上限：
</t>
  </si>
  <si>
    <t>技能效果ID-单</t>
  </si>
  <si>
    <t xml:space="preserve">技能效果ID-多：
不配置则不读，配置则只取此字段，单效果字段不生效
单效果:第1个攻击帧触发伤害&amp;攻击特效，其他帧只触发伤害
多效果:每个攻击帧都触发伤害&amp;攻击特效
配置格式:技能效果ID#特效/作用范围缩放比例#特效间距
缩放比例单位:百分比
</t>
  </si>
  <si>
    <t>常驻被动属性</t>
  </si>
  <si>
    <t>战斗中被动属性</t>
  </si>
  <si>
    <t>伤害固定值</t>
  </si>
  <si>
    <t>伤害比例</t>
  </si>
  <si>
    <t xml:space="preserve">起手时间：
起手时间内，打断后技能不进入CD 攻击帧时间减100
</t>
  </si>
  <si>
    <t xml:space="preserve">攻击帧时间：
出伤害/攻击特效时间/ms
多段伤害时第1个攻击帧出特效，其他的攻击帧只出伤害
</t>
  </si>
  <si>
    <t xml:space="preserve">动作时间：
动作持续时间，与伤害无关；施法动画的长度
</t>
  </si>
  <si>
    <t xml:space="preserve">技能时间毫秒：
技能时间不能小于动作时间，否则会导致技能一致持续释放
如果特效播放时间过短，就去看下特效持续时间是否正确
用攻击帧时间+特效时间
</t>
  </si>
  <si>
    <t>技能冷却</t>
  </si>
  <si>
    <t>额外触发条件</t>
  </si>
  <si>
    <t>移动是否停止施法</t>
  </si>
  <si>
    <t>buff附加时间
1：出手后
2：出手前</t>
  </si>
  <si>
    <t xml:space="preserve">附加buff：格式：buff#概率#是否每个帧都附加Buff#目标类型#目标数量|....
目标类型：0与技能目标相同；1自己；2己方；3敌方；4己方除自己
附加buff时间：-1每个攻击帧都会附近，大于0则指定攻击帧触发
目标数量，默认为0不用配置，与目标数量不同时配置
</t>
  </si>
  <si>
    <r>
      <rPr>
        <b/>
        <sz val="9"/>
        <color theme="1"/>
        <rFont val="微软雅黑"/>
        <charset val="134"/>
      </rPr>
      <t>额外特殊触发条件</t>
    </r>
    <r>
      <rPr>
        <sz val="9"/>
        <color theme="1"/>
        <rFont val="微软雅黑"/>
        <charset val="134"/>
      </rPr>
      <t xml:space="preserve">
条件类型#参数
1、携带指定buff类型时；
2、指定战斗表现时触发
---4暴击；6闪避
</t>
    </r>
  </si>
  <si>
    <t>额外特殊触发效果：
1、造成额外伤害#伤害比列
2、立即释放指定技能#技能ID#间隔时间
3、增加额外目标人数#目标数量</t>
  </si>
  <si>
    <t xml:space="preserve">位移类型：
Administrator:
1、拉怪
2、冲锋（人物碰到怪物后，与怪物同时冲到最大攻击距离处）
3、突进（人物碰到目标怪物后停止）
4、穿刺（怪物位置不动，人物穿过去）
5、瞬移
6、平移
</t>
  </si>
  <si>
    <t xml:space="preserve">位移类型参数：
1、拉怪：类型#距离#初速度#加速度
--类型1：身前X像素（只能配置圆形和扇形）
--类型2：中轴线X像素（只能配置矩形）
2、冲锋：初速度#加速度
3、突进：初速度#加速度
4、穿刺：初速度#加速度
5、瞬移：类型
--类型1：受击目标所在位置；
--类型2：最近友方所在位置；
--类型3：最远友方所在位置
6、平移#0（无参数）
</t>
  </si>
  <si>
    <t>战力</t>
  </si>
  <si>
    <t>是否显示技能预警</t>
  </si>
  <si>
    <t>普攻</t>
  </si>
  <si>
    <t>昊天普攻</t>
  </si>
  <si>
    <t>昊天一击</t>
  </si>
  <si>
    <t>昊天技能1</t>
  </si>
  <si>
    <t>召唤昊天之力，对单体敌方造成伤害雷电伤害，有概率晕眩并将伤害转换为自身生命</t>
  </si>
  <si>
    <t>1#3</t>
  </si>
  <si>
    <t>1011001#10000#-1#0|3030001#1000#0#0</t>
  </si>
  <si>
    <t>增加伤害量，晕眩概率</t>
  </si>
  <si>
    <t>1011001#10000#-1#0|3030001#2500#0#0</t>
  </si>
  <si>
    <t>1011001#10000#-1#0|3030001#5000#0#0</t>
  </si>
  <si>
    <t>昊天神塔</t>
  </si>
  <si>
    <t>昊天技能2</t>
  </si>
  <si>
    <t>昊天神塔辐射战场，对敌方每秒造成伤害，同时恢复己方生命</t>
  </si>
  <si>
    <t>1#150</t>
  </si>
  <si>
    <t>5010001#10000#-1#0|4010003#10000#-1#2#12</t>
  </si>
  <si>
    <t>给己方添加减伤效果</t>
  </si>
  <si>
    <t>5010001#10000#-1#0|4010003#10000#-1#2#12|1010404#10000#-1#2#12</t>
  </si>
  <si>
    <t>增加持续时间</t>
  </si>
  <si>
    <t>5010002#10000#-1#0|4010004#10000#-1#2#12|1010405#10000#-1#2#12</t>
  </si>
  <si>
    <t>轩辕普攻</t>
  </si>
  <si>
    <t>轩辕刃</t>
  </si>
  <si>
    <t>轩辕技能1</t>
  </si>
  <si>
    <t>持血刃对前方挥砍造成范围伤害，并将伤害转换为自身生命</t>
  </si>
  <si>
    <t>2#100#200</t>
  </si>
  <si>
    <t>1#7</t>
  </si>
  <si>
    <t>1011002#10000#-1#1</t>
  </si>
  <si>
    <t>目标处于流血状态时立即施展</t>
  </si>
  <si>
    <t>1#203</t>
  </si>
  <si>
    <t>2#4402202#5000</t>
  </si>
  <si>
    <t>增加吸血量</t>
  </si>
  <si>
    <t>1011003#10000#-1#1</t>
  </si>
  <si>
    <t>2#4402203#5000</t>
  </si>
  <si>
    <t>浮空血斩</t>
  </si>
  <si>
    <t>轩辕技能2</t>
  </si>
  <si>
    <t>施展血阵，拉近自身范围内敌方后造成伤害，并施加流血状态</t>
  </si>
  <si>
    <t>1#300</t>
  </si>
  <si>
    <t>2030001#10000#-1#0</t>
  </si>
  <si>
    <t>1#100#30</t>
  </si>
  <si>
    <t>减少冷却时间</t>
  </si>
  <si>
    <t>给目标施加浮空效果</t>
  </si>
  <si>
    <t>2030001#10000#-1#0|3040002#10000#-1#0</t>
  </si>
  <si>
    <t>火神祝融普攻</t>
  </si>
  <si>
    <t>离火出鞘</t>
  </si>
  <si>
    <t>火神祝融技能1</t>
  </si>
  <si>
    <t>对直线范围内敌方造成伤害并突进</t>
  </si>
  <si>
    <t>2#100#400</t>
  </si>
  <si>
    <t>1#5</t>
  </si>
  <si>
    <t>30#30</t>
  </si>
  <si>
    <t>目标处于灼烧状态时立即施展</t>
  </si>
  <si>
    <t>1#201</t>
  </si>
  <si>
    <t>2#4403202#5000</t>
  </si>
  <si>
    <t>增加伤害量</t>
  </si>
  <si>
    <t>2#4403203#5000</t>
  </si>
  <si>
    <t>圣炎八荒</t>
  </si>
  <si>
    <t>火神祝融技能2</t>
  </si>
  <si>
    <t>对前方扇形范围造成伤害，并施加灼烧状态</t>
  </si>
  <si>
    <t>3#180#250</t>
  </si>
  <si>
    <t>2010001#10000#-1#0</t>
  </si>
  <si>
    <t>伏羲普攻</t>
  </si>
  <si>
    <t>3#180#200</t>
  </si>
  <si>
    <t>3#3</t>
  </si>
  <si>
    <t>3#5</t>
  </si>
  <si>
    <t>阴阳游</t>
  </si>
  <si>
    <t>伏羲技能1</t>
  </si>
  <si>
    <t>释放残影对范围内敌方造成伤，并施加灼烧状态</t>
  </si>
  <si>
    <t>普攻时使处于灼烧状态的3个敌方受到残影伤害</t>
  </si>
  <si>
    <t>普攻时使处于灼烧状态的6个敌方受到残影伤害</t>
  </si>
  <si>
    <t>碎裂乾坤</t>
  </si>
  <si>
    <t>伏羲技能2</t>
  </si>
  <si>
    <t>撕裂阴阳虚空，对范围内目标造成大量伤害</t>
  </si>
  <si>
    <t>1#200</t>
  </si>
  <si>
    <t>给目标施加灼烧状态</t>
  </si>
  <si>
    <t>2010002#10000#-1#0</t>
  </si>
  <si>
    <t>帝释天普攻</t>
  </si>
  <si>
    <t>4405101#1#1#1</t>
  </si>
  <si>
    <t>天诛</t>
  </si>
  <si>
    <t>帝释天技能1</t>
  </si>
  <si>
    <t>释放法莲，对敌方单体造成大量伤害</t>
  </si>
  <si>
    <t>4405201#1#1#1</t>
  </si>
  <si>
    <t>1#6</t>
  </si>
  <si>
    <t>目标处于冰冻状态时立即施展</t>
  </si>
  <si>
    <t>1#301</t>
  </si>
  <si>
    <t>2#4405202#5000</t>
  </si>
  <si>
    <t>给目标施加冻伤状态</t>
  </si>
  <si>
    <t>4405203#1#1#1</t>
  </si>
  <si>
    <t>3010002#10000#-1#0</t>
  </si>
  <si>
    <t>2#4405203#5000</t>
  </si>
  <si>
    <t>无垢华莲</t>
  </si>
  <si>
    <t>帝释天技能2</t>
  </si>
  <si>
    <t>释放无垢华莲，对范围内敌方造成大量伤害</t>
  </si>
  <si>
    <t>1#250</t>
  </si>
  <si>
    <t>5010003#10000#-1#0</t>
  </si>
  <si>
    <t>5010003#10000#-1#0|3010002#10000#-1#3#15</t>
  </si>
  <si>
    <t>真武大帝普攻</t>
  </si>
  <si>
    <t>300#480</t>
  </si>
  <si>
    <t>血影斩</t>
  </si>
  <si>
    <t>真武大帝技能1</t>
  </si>
  <si>
    <t>挥出血斩，对前方范围内敌方造成伤害，并施加流血状态</t>
  </si>
  <si>
    <t>4406201#1#1#1</t>
  </si>
  <si>
    <t>1#8</t>
  </si>
  <si>
    <t>增加血斩数量</t>
  </si>
  <si>
    <t>4406201#2#3#1#30</t>
  </si>
  <si>
    <t>普攻暴击后命中后立即施展</t>
  </si>
  <si>
    <t>2#4</t>
  </si>
  <si>
    <t>诛魔法身</t>
  </si>
  <si>
    <t>真武大帝技能2</t>
  </si>
  <si>
    <t>召唤诛魔法身，对范围内敌方造成大量伤害</t>
  </si>
  <si>
    <t>对流血状态敌方额外造成伤害</t>
  </si>
  <si>
    <t>将伤害转化为生命</t>
  </si>
  <si>
    <t>杀神白起普攻</t>
  </si>
  <si>
    <t>霜之战令</t>
  </si>
  <si>
    <t>杀神白起技能1</t>
  </si>
  <si>
    <t>为自身释放冰霜护盾减少大量伤害，并对周围目标造成冻伤效果</t>
  </si>
  <si>
    <t>1#10</t>
  </si>
  <si>
    <t>1010408#10000#-1#0|3010001#10000#-1#3</t>
  </si>
  <si>
    <t>额外给友军释放冰霜护盾</t>
  </si>
  <si>
    <t>目标数量+1</t>
  </si>
  <si>
    <t>霜之杀阵</t>
  </si>
  <si>
    <t>杀神白起技能2</t>
  </si>
  <si>
    <t>唤醒杀阵，对范围内目标造成伤害，并附带冻伤效果</t>
  </si>
  <si>
    <t>3010003#10000#-1#0|5010009#10000#-1#0</t>
  </si>
  <si>
    <t>增加伤害范围</t>
  </si>
  <si>
    <t>1#400</t>
  </si>
  <si>
    <t>3010003#10000#-1#0|5010010#10000#-1#0</t>
  </si>
  <si>
    <t>东皇太一普攻</t>
  </si>
  <si>
    <t>4408101#1#1#2</t>
  </si>
  <si>
    <t>噬咬</t>
  </si>
  <si>
    <t>东皇太一技能1</t>
  </si>
  <si>
    <t>释放耀龙撕咬敌方造成伤，目标处于中毒状态时额外造成伤害</t>
  </si>
  <si>
    <t>1#202</t>
  </si>
  <si>
    <t>对目标及周围处于中毒状态的敌方造成额外伤害</t>
  </si>
  <si>
    <t>耀龙契约</t>
  </si>
  <si>
    <t>东皇太一技能2</t>
  </si>
  <si>
    <t>召唤耀龙真身对身前范围内敌方造成伤害，并施加中毒状态</t>
  </si>
  <si>
    <t>3#120#600</t>
  </si>
  <si>
    <t>2020001#10000#-1#0</t>
  </si>
  <si>
    <t>白泽普攻</t>
  </si>
  <si>
    <t>撕裂</t>
  </si>
  <si>
    <t>白泽技能1</t>
  </si>
  <si>
    <t>瞬移至单体敌方身前造成伤害，并施加流血状态</t>
  </si>
  <si>
    <t>500#580#660#740#820#900</t>
  </si>
  <si>
    <t>自身闪避时立即施展</t>
  </si>
  <si>
    <t>2#6</t>
  </si>
  <si>
    <t>2#4409202#5000</t>
  </si>
  <si>
    <t>攻击范围变为群体</t>
  </si>
  <si>
    <t>2#4409203#5000</t>
  </si>
  <si>
    <t>幻灵真身</t>
  </si>
  <si>
    <t>白泽技能2</t>
  </si>
  <si>
    <t>召唤幻灵真身，瞬移至单体目标身前造成伤害，并提升自身闪避</t>
  </si>
  <si>
    <t>5010004#10000#-1#0|1010501#10000#-1#1</t>
  </si>
  <si>
    <t>提升附近2位己方闪避</t>
  </si>
  <si>
    <t>5010004#10000#-1#0|1010501#10000#-1#1|1010501#10000#-1#4#2</t>
  </si>
  <si>
    <t>5010004#10000#-1#0|1010502#10000#-1#1|1010502#10000#-1#4#2</t>
  </si>
  <si>
    <t>羲和普攻</t>
  </si>
  <si>
    <t>4410101#1#1#1</t>
  </si>
  <si>
    <t>日冕</t>
  </si>
  <si>
    <t>羲和技能1</t>
  </si>
  <si>
    <t>在敌方单体附近唤醒日冕，己方攻速提升</t>
  </si>
  <si>
    <t>1010101#10000#0#2</t>
  </si>
  <si>
    <t>减少5秒冷却时间</t>
  </si>
  <si>
    <t>减少10秒冷却时间</t>
  </si>
  <si>
    <t>赤阳之琐</t>
  </si>
  <si>
    <t>羲和技能2</t>
  </si>
  <si>
    <t>通过控制时间攻击大范围内的敌人，并赋予眩晕状态。</t>
  </si>
  <si>
    <t>1#500</t>
  </si>
  <si>
    <t>3030002#10000#0#3</t>
  </si>
  <si>
    <t>女娲普攻</t>
  </si>
  <si>
    <t>4411101#1#1#1</t>
  </si>
  <si>
    <t>灵石冲击</t>
  </si>
  <si>
    <t>女娲技能1</t>
  </si>
  <si>
    <t>对前方矩形范围内的目标造成3段伤害。</t>
  </si>
  <si>
    <t>4411201#1#1#1</t>
  </si>
  <si>
    <t>1750#2250#2750</t>
  </si>
  <si>
    <t>赋予冻伤状态</t>
  </si>
  <si>
    <t>3010001#10000#-1#0</t>
  </si>
  <si>
    <t>推开附近的敌人</t>
  </si>
  <si>
    <t>补天囚笼</t>
  </si>
  <si>
    <t>女娲技能2</t>
  </si>
  <si>
    <t>以敌人目标为中心引起漩涡，拉近敌人并造成伤害。</t>
  </si>
  <si>
    <t>4411301#100#0|4411301#80#0|4411301#60#0</t>
  </si>
  <si>
    <t>330#1630#2920</t>
  </si>
  <si>
    <t>西王母普攻</t>
  </si>
  <si>
    <t>生莲</t>
  </si>
  <si>
    <t>西王母技能1</t>
  </si>
  <si>
    <t>以治疗单一友军来代替普攻，并定期救援2名友军，以大幅恢复其生命</t>
  </si>
  <si>
    <t>救援时解除所有异常状态</t>
  </si>
  <si>
    <t>救援目标增加1个</t>
  </si>
  <si>
    <t>瑶台甘霖</t>
  </si>
  <si>
    <t>西王母技能2</t>
  </si>
  <si>
    <t>以复苏之光来立即复活1名最后战死的友军</t>
  </si>
  <si>
    <t>复活的友军数增加1个</t>
  </si>
  <si>
    <t>复活时增加友军的生命</t>
  </si>
  <si>
    <t>九天玄女普攻</t>
  </si>
  <si>
    <t>4411301#1#1#1</t>
  </si>
  <si>
    <t>复苏</t>
  </si>
  <si>
    <t>九天玄女技能1</t>
  </si>
  <si>
    <t>通过自然的再生力，以我军目标为中心持续进行区域恢复。</t>
  </si>
  <si>
    <t>4010006#10000#-1#0</t>
  </si>
  <si>
    <t>4010007#10000#-1#0</t>
  </si>
  <si>
    <t>4010008#10000#-1#0</t>
  </si>
  <si>
    <t>玄女赐福</t>
  </si>
  <si>
    <t>九天玄女技能2</t>
  </si>
  <si>
    <t>以自身为中心下起净化之雨恢复范围友军并解除异常状态</t>
  </si>
  <si>
    <t>4010009#10000#-1#0|3100001#10000#-1#0</t>
  </si>
  <si>
    <t>增加恢复效果</t>
  </si>
  <si>
    <t>4010010#10000#-1#0|3100001#10000#-1#0</t>
  </si>
  <si>
    <t>降龙乔峰普攻</t>
  </si>
  <si>
    <t>4414101#1#1#1</t>
  </si>
  <si>
    <t>推掌</t>
  </si>
  <si>
    <t>降龙乔峰技能1</t>
  </si>
  <si>
    <t>对近距离目标进行单体攻击，如目标接近，在前方60度范围内造成区域伤害并推开敌人。</t>
  </si>
  <si>
    <t>4414201#1#1#1</t>
  </si>
  <si>
    <t>500#670#840</t>
  </si>
  <si>
    <t>普攻增加冻伤状态</t>
  </si>
  <si>
    <t>推掌增加烧伤状态</t>
  </si>
  <si>
    <t>降龙十八掌</t>
  </si>
  <si>
    <t>降龙乔峰技能2</t>
  </si>
  <si>
    <t>聚集冰与火之力的力量投掷于前方，在冲击的位置造成强力的范围伤害。</t>
  </si>
  <si>
    <t>4414301#1#1#1</t>
  </si>
  <si>
    <t>2#100#300</t>
  </si>
  <si>
    <t>天蓬普攻</t>
  </si>
  <si>
    <t>耙击</t>
  </si>
  <si>
    <t>天蓬技能1</t>
  </si>
  <si>
    <t>对扇形范围内的敌方发射铁锥，将其拉近。</t>
  </si>
  <si>
    <t>3#60#250</t>
  </si>
  <si>
    <t>减少敌人的攻击力</t>
  </si>
  <si>
    <t>1010902#10000#-1#0</t>
  </si>
  <si>
    <t>天蓬旋风</t>
  </si>
  <si>
    <t>天蓬技能2</t>
  </si>
  <si>
    <t>以自身为中心旋转铁锥。</t>
  </si>
  <si>
    <t>1#175</t>
  </si>
  <si>
    <t>330#1180#2030#2880</t>
  </si>
  <si>
    <t>施展期间减少伤害量</t>
  </si>
  <si>
    <t>1010403#10000#1#1</t>
  </si>
  <si>
    <t>程咬金普攻</t>
  </si>
  <si>
    <t>震击</t>
  </si>
  <si>
    <t>程咬金技能1</t>
  </si>
  <si>
    <t>从位置上跳跃，以自身为中心造成范围伤害，并浮空敌人。</t>
  </si>
  <si>
    <t>2#10</t>
  </si>
  <si>
    <t>3040001#10000#-1#0</t>
  </si>
  <si>
    <t>被攻击次数减少</t>
  </si>
  <si>
    <t>2#7</t>
  </si>
  <si>
    <t>增加浮空时间</t>
  </si>
  <si>
    <t>3040002#10000#-1#0</t>
  </si>
  <si>
    <t>回旋板斧</t>
  </si>
  <si>
    <t>程咬金技能2</t>
  </si>
  <si>
    <t>快速旋转，以自身为中心造成范围伤害并拉近敌人。</t>
  </si>
  <si>
    <t>500#950#1400</t>
  </si>
  <si>
    <t>1#30#30</t>
  </si>
  <si>
    <t>减少旋转时的伤害量</t>
  </si>
  <si>
    <t>东方不败普攻</t>
  </si>
  <si>
    <t>4303101#1#1#1</t>
  </si>
  <si>
    <t>银针</t>
  </si>
  <si>
    <t>东方不败技能1</t>
  </si>
  <si>
    <t>用普攻发射向前方溅射的散弹。</t>
  </si>
  <si>
    <t>4303201#2#3#1#15</t>
  </si>
  <si>
    <t>增加发射量</t>
  </si>
  <si>
    <t>4303201#2#4#1#15</t>
  </si>
  <si>
    <t>增加贯穿力</t>
  </si>
  <si>
    <t>葵花心法</t>
  </si>
  <si>
    <t>东方不败技能2</t>
  </si>
  <si>
    <t>使用应急储备粮，一定时间内恢复自身生命。</t>
  </si>
  <si>
    <t>4011001#10000#-1#1</t>
  </si>
  <si>
    <t>4011002#10000#-1#1</t>
  </si>
  <si>
    <t>4011003#10000#-1#1</t>
  </si>
  <si>
    <t>杨戬普攻</t>
  </si>
  <si>
    <t>破风</t>
  </si>
  <si>
    <t>杨戬技能1</t>
  </si>
  <si>
    <t>向单一敌人快速突进造成伤害。</t>
  </si>
  <si>
    <t>2#100#250</t>
  </si>
  <si>
    <t>2#100#30</t>
  </si>
  <si>
    <t>添加眩晕效果</t>
  </si>
  <si>
    <t>3030001#10000#-1#0</t>
  </si>
  <si>
    <t>三目移魂</t>
  </si>
  <si>
    <t>杨戬技能2</t>
  </si>
  <si>
    <t>区域挑衅周围的敌人，被挑衅的敌人强制攻击施法者。</t>
  </si>
  <si>
    <t>1#350</t>
  </si>
  <si>
    <t>3050001#10000#-1#0</t>
  </si>
  <si>
    <t>减少所受伤害</t>
  </si>
  <si>
    <t>增加挑衅范围</t>
  </si>
  <si>
    <t>吕洞宾普攻</t>
  </si>
  <si>
    <t>剑意</t>
  </si>
  <si>
    <t>吕洞宾技能1</t>
  </si>
  <si>
    <t>向前方发射剑气，对击中的目标造成伤害。</t>
  </si>
  <si>
    <t>4305201#1#1#1</t>
  </si>
  <si>
    <t>增加剑气发射距离</t>
  </si>
  <si>
    <t>增加剑气伤害量</t>
  </si>
  <si>
    <t>风雷决</t>
  </si>
  <si>
    <t>吕洞宾技能2</t>
  </si>
  <si>
    <t>向地面劈砍大剑，以自己为中心对周围造成范围伤害。</t>
  </si>
  <si>
    <t>添加浮空敌人效果</t>
  </si>
  <si>
    <t>增加攻击范围</t>
  </si>
  <si>
    <t>巨灵神普攻</t>
  </si>
  <si>
    <t>乱击</t>
  </si>
  <si>
    <t>巨灵神技能1</t>
  </si>
  <si>
    <t>向单一目标进行4次攻击造成伤害并赋予流血状态。</t>
  </si>
  <si>
    <t>460#630#790#1130</t>
  </si>
  <si>
    <t>2030001#10000#1#0</t>
  </si>
  <si>
    <t>巨灵之力</t>
  </si>
  <si>
    <t>巨灵神技能2</t>
  </si>
  <si>
    <t>自身处于疯狂状态在6秒内增加攻击速度。</t>
  </si>
  <si>
    <t>1010101#10000#-1#0</t>
  </si>
  <si>
    <t>疯狂状态下增加吸血概率</t>
  </si>
  <si>
    <t>1010102#10000#-1#0</t>
  </si>
  <si>
    <t>少司命普攻</t>
  </si>
  <si>
    <t>4307101#1#1#1</t>
  </si>
  <si>
    <t>楚歌扇舞</t>
  </si>
  <si>
    <t>少司命技能2</t>
  </si>
  <si>
    <t>召唤飞扇对范围内的敌人造成持续伤害，并附带中毒效果</t>
  </si>
  <si>
    <t>5010011#10000#-1#0</t>
  </si>
  <si>
    <t>提升伤害范围</t>
  </si>
  <si>
    <t>5010012#10000#-1#0</t>
  </si>
  <si>
    <t>大幅提升持续时间</t>
  </si>
  <si>
    <t>5010013#10000#-1#0</t>
  </si>
  <si>
    <t>飞扇</t>
  </si>
  <si>
    <t>少司命技能1</t>
  </si>
  <si>
    <t>扔出飞扇对范围内的敌人造成伤害</t>
  </si>
  <si>
    <t>4307201#1#1#1</t>
  </si>
  <si>
    <t>哪吒普攻</t>
  </si>
  <si>
    <t>乾坤圈</t>
  </si>
  <si>
    <t>哪吒技能1</t>
  </si>
  <si>
    <t>对多个敌方施加灼烧效果</t>
  </si>
  <si>
    <t>减少其50%攻击力</t>
  </si>
  <si>
    <t>2010001#10000#-1#0|1010901#10000#-1#0</t>
  </si>
  <si>
    <t>炽焰冲击</t>
  </si>
  <si>
    <t>哪吒技能2</t>
  </si>
  <si>
    <t>在前方升起直线荆棘，造成范围伤害，同时浮空敌人。</t>
  </si>
  <si>
    <t>1#40</t>
  </si>
  <si>
    <t>4308301#100#100|4308301#100#200|4308301#100#300</t>
  </si>
  <si>
    <t>670#970#1270</t>
  </si>
  <si>
    <t>陆吾普攻</t>
  </si>
  <si>
    <t>4309101#1#2#1</t>
  </si>
  <si>
    <t>炮击</t>
  </si>
  <si>
    <t>陆吾技能1</t>
  </si>
  <si>
    <t>普攻发射大炮造成范围伤害。</t>
  </si>
  <si>
    <t>4309201#1#2#1</t>
  </si>
  <si>
    <t>1#99</t>
  </si>
  <si>
    <t>炮击后减少持续时间</t>
  </si>
  <si>
    <t>对烧伤状态的目标造成额外伤害</t>
  </si>
  <si>
    <t>轰天裂地</t>
  </si>
  <si>
    <t>陆吾技能2</t>
  </si>
  <si>
    <t>发射火焰炮弹造成范围伤害并赋予烧伤状态。</t>
  </si>
  <si>
    <t>对烧伤状态的目标赋予眩晕状态</t>
  </si>
  <si>
    <t>2010001#10000#-1#0|3030001#10000#-1#0</t>
  </si>
  <si>
    <t>洪七普攻</t>
  </si>
  <si>
    <t>劈砍</t>
  </si>
  <si>
    <t>洪七技能1</t>
  </si>
  <si>
    <t>割裂地面，对前方30度区域造成范围性伤害。</t>
  </si>
  <si>
    <t>3#45#150</t>
  </si>
  <si>
    <t>暴击命中时立即施展</t>
  </si>
  <si>
    <t>打狗决</t>
  </si>
  <si>
    <t>洪七技能2</t>
  </si>
  <si>
    <t>围绕周围，向前方180度区域造成范围性伤害，并浮空敌人。</t>
  </si>
  <si>
    <t>3#180#150</t>
  </si>
  <si>
    <t>莫邪普攻</t>
  </si>
  <si>
    <t>破击</t>
  </si>
  <si>
    <t>莫邪技能1</t>
  </si>
  <si>
    <t>向目标方向进行闪光攻击造成直线范围伤害。</t>
  </si>
  <si>
    <t>2#100#150</t>
  </si>
  <si>
    <t>条件减少为普攻3次</t>
  </si>
  <si>
    <t>躲避时立即施展</t>
  </si>
  <si>
    <t>剑破无形</t>
  </si>
  <si>
    <t>莫邪技能2</t>
  </si>
  <si>
    <t>跳着剑舞快速攻击目标5次造成伤害。</t>
  </si>
  <si>
    <t>暴击时立即施展</t>
  </si>
  <si>
    <t>后羿普攻</t>
  </si>
  <si>
    <t>4312101#1#1#2</t>
  </si>
  <si>
    <t>贯日</t>
  </si>
  <si>
    <t>后羿技能1</t>
  </si>
  <si>
    <t>射出可穿透敌方的箭矢，造成大量伤害</t>
  </si>
  <si>
    <t>4312201#1#1#1</t>
  </si>
  <si>
    <t>标枪以60%概率贯穿目标</t>
  </si>
  <si>
    <t>标枪以100%概率贯穿目标</t>
  </si>
  <si>
    <t>三星曜日</t>
  </si>
  <si>
    <t>后羿技能2</t>
  </si>
  <si>
    <t>蓄力射出旋风箭矢，对沿途目标造成伤害并聚拢敌方</t>
  </si>
  <si>
    <t>4312301#1#1#1</t>
  </si>
  <si>
    <t>庄周普攻</t>
  </si>
  <si>
    <t>迷蝶</t>
  </si>
  <si>
    <t>庄周技能1</t>
  </si>
  <si>
    <t>向前方连续发射2根可以穿透敌人的羽毛，使其受伤。</t>
  </si>
  <si>
    <t>目标处于中毒状态时立即施展</t>
  </si>
  <si>
    <t>梦蝶冲击</t>
  </si>
  <si>
    <t>庄周技能2</t>
  </si>
  <si>
    <t>以自身为中心的5名敌人发射羽毛刀刃并回收，对击中目标造成伤害并赋予中毒状态。施展中在空中移动至近距离友军</t>
  </si>
  <si>
    <t>增加敌军目标</t>
  </si>
  <si>
    <t>墨生普攻</t>
  </si>
  <si>
    <t>4315301#1#1#1</t>
  </si>
  <si>
    <t>连弩</t>
  </si>
  <si>
    <t>墨生技能1</t>
  </si>
  <si>
    <t>普攻变为连续射击。</t>
  </si>
  <si>
    <t>4314201#1#1#1</t>
  </si>
  <si>
    <t>250#550</t>
  </si>
  <si>
    <t>增加连射次数</t>
  </si>
  <si>
    <t>250#550#850</t>
  </si>
  <si>
    <t>250#550#850#1150</t>
  </si>
  <si>
    <t>重弩轰击</t>
  </si>
  <si>
    <t>墨生技能2</t>
  </si>
  <si>
    <t>向单一敌人发射狙击枪造成强力伤害。</t>
  </si>
  <si>
    <t>4314301#1#1#1</t>
  </si>
  <si>
    <t>灶君司命普攻</t>
  </si>
  <si>
    <t>卜卦</t>
  </si>
  <si>
    <t>灶君司命技能1</t>
  </si>
  <si>
    <t>随机抛出赋予烧伤，冻伤，中毒状态的多种药水代替普攻。</t>
  </si>
  <si>
    <t>使用能定期恢复附近队友的药水</t>
  </si>
  <si>
    <t>添加眩晕药水</t>
  </si>
  <si>
    <t>灶神神通</t>
  </si>
  <si>
    <t>灶君司命技能2</t>
  </si>
  <si>
    <t>翻开包裹迅速抛出拥有中的药水。</t>
  </si>
  <si>
    <t>4312101#1#4#2#30</t>
  </si>
  <si>
    <t>增加可同时使用的药水数量</t>
  </si>
  <si>
    <t>4312101#1#6#2#30</t>
  </si>
  <si>
    <t>虚竹普攻</t>
  </si>
  <si>
    <t>折梅手</t>
  </si>
  <si>
    <t>虚竹技能1</t>
  </si>
  <si>
    <t>连续攻击敌人，伤害敌人的同时恢复近距离友军的生命值。</t>
  </si>
  <si>
    <t>1#9</t>
  </si>
  <si>
    <t>条件减少为普攻7次</t>
  </si>
  <si>
    <t>条件减少为普攻5次</t>
  </si>
  <si>
    <t>北冥神功</t>
  </si>
  <si>
    <t>虚竹技能2</t>
  </si>
  <si>
    <t>以自身为中心的友军在4秒内处于无敌状态。</t>
  </si>
  <si>
    <t>增加无敌时间</t>
  </si>
  <si>
    <t>水神共工普攻</t>
  </si>
  <si>
    <t>4103101#1#1#1</t>
  </si>
  <si>
    <t>冰霜</t>
  </si>
  <si>
    <t>水神共工技能1</t>
  </si>
  <si>
    <t>发射冰霜球体，在撞击的位置造成范围伤害。</t>
  </si>
  <si>
    <t>4317201#1#1#1</t>
  </si>
  <si>
    <t>1#75</t>
  </si>
  <si>
    <r>
      <rPr>
        <sz val="11"/>
        <color theme="1"/>
        <rFont val="等线"/>
        <charset val="134"/>
        <scheme val="minor"/>
      </rPr>
      <t>1</t>
    </r>
    <r>
      <rPr>
        <sz val="11"/>
        <color theme="1"/>
        <rFont val="等线"/>
        <charset val="134"/>
        <scheme val="minor"/>
      </rPr>
      <t>#</t>
    </r>
    <r>
      <rPr>
        <sz val="11"/>
        <color theme="1"/>
        <rFont val="等线"/>
        <charset val="134"/>
        <scheme val="minor"/>
      </rPr>
      <t>5</t>
    </r>
  </si>
  <si>
    <t>添加冻伤状态</t>
  </si>
  <si>
    <t>减少技能施法条件</t>
  </si>
  <si>
    <r>
      <rPr>
        <sz val="11"/>
        <color theme="1"/>
        <rFont val="等线"/>
        <charset val="134"/>
        <scheme val="minor"/>
      </rPr>
      <t>1</t>
    </r>
    <r>
      <rPr>
        <sz val="11"/>
        <color theme="1"/>
        <rFont val="等线"/>
        <charset val="134"/>
        <scheme val="minor"/>
      </rPr>
      <t>#4</t>
    </r>
  </si>
  <si>
    <t>暴风雪</t>
  </si>
  <si>
    <t>水神共工技能2</t>
  </si>
  <si>
    <t>以目标为中心引发暴风雪，在N秒内造成范围伤害并赋予冻伤状态。</t>
  </si>
  <si>
    <t>小龙女普攻</t>
  </si>
  <si>
    <t>4318101#1#1#1</t>
  </si>
  <si>
    <t>金玲琐</t>
  </si>
  <si>
    <t>小龙女技能1</t>
  </si>
  <si>
    <t>应援单一友军持续恢复生命。</t>
  </si>
  <si>
    <t>4318201#1#1#1</t>
  </si>
  <si>
    <t>4010001#10000#-1#2#12</t>
  </si>
  <si>
    <t>添加增加伤害量效果</t>
  </si>
  <si>
    <t>4318202#1#1#1</t>
  </si>
  <si>
    <t>4010001#10000#-1#2#12|1010801#10000#-1#2#12</t>
  </si>
  <si>
    <t>条件减少为普攻6次</t>
  </si>
  <si>
    <t>龙女袖舞</t>
  </si>
  <si>
    <t>小龙女技能2</t>
  </si>
  <si>
    <t>以自身为中心10秒内增加友军的攻击速度和移动速度。</t>
  </si>
  <si>
    <t>1020001#10000#-1#2#12</t>
  </si>
  <si>
    <t>句芒普攻</t>
  </si>
  <si>
    <t>符咒</t>
  </si>
  <si>
    <t>句芒技能1</t>
  </si>
  <si>
    <t>向敌人发射乌鸦造成伤害，并赋予诅咒状态增加目标在一定时间内所受的伤害。</t>
  </si>
  <si>
    <t>增加同时攻击的目标人数</t>
  </si>
  <si>
    <t>祭灵祖符</t>
  </si>
  <si>
    <t>句芒技能2</t>
  </si>
  <si>
    <t>向前方180度区域内发射乌鸦，对被击中的敌人造成伤害并赋予诅咒状态，增加一定时间内所受到的伤害。</t>
  </si>
  <si>
    <t>乌鸦的发射范围增加至360度</t>
  </si>
  <si>
    <t>嫦娥普攻</t>
  </si>
  <si>
    <t>援护</t>
  </si>
  <si>
    <t>嫦娥技能1</t>
  </si>
  <si>
    <t>治疗单一友军代替普攻。</t>
  </si>
  <si>
    <t>有几率同时恢复2人</t>
  </si>
  <si>
    <t>月之祈福</t>
  </si>
  <si>
    <t>嫦娥技能2</t>
  </si>
  <si>
    <t>以自身为中心，通过发射生命之光治疗周围队友。</t>
  </si>
  <si>
    <t>九尾狐普攻</t>
  </si>
  <si>
    <t>4321101#1#1#1</t>
  </si>
  <si>
    <t>毒液</t>
  </si>
  <si>
    <t>九尾狐技能1</t>
  </si>
  <si>
    <t>向敌人投掷触碰后可反弹的剧毒药瓶，被击中的目标陷入中毒状态。</t>
  </si>
  <si>
    <t>4321201#3#7000#5000#3000</t>
  </si>
  <si>
    <t>2020001#10000#-1#3</t>
  </si>
  <si>
    <t>增加剧毒药瓶反弹次数</t>
  </si>
  <si>
    <t>4321201#4#7000#5000#3000#3000</t>
  </si>
  <si>
    <t>4321201#5#7000#5000#3000#3000#3000</t>
  </si>
  <si>
    <t>湮灭毒障</t>
  </si>
  <si>
    <t>九尾狐技能2</t>
  </si>
  <si>
    <t>以目标为中心制造疫情区，持续造成范围性伤害。</t>
  </si>
  <si>
    <t>添加减速效果</t>
  </si>
  <si>
    <t>2020001#10000#-1#3|3030001#10000#-1#0</t>
  </si>
  <si>
    <t>李逍遥普攻</t>
  </si>
  <si>
    <t>强击</t>
  </si>
  <si>
    <t>李逍遥技能1</t>
  </si>
  <si>
    <t>聚集力量，对一个敌人进行强力攻击。</t>
  </si>
  <si>
    <t>天罡战意</t>
  </si>
  <si>
    <t>李逍遥技能2</t>
  </si>
  <si>
    <t>5秒内鼓励附近3名友军，增加攻击速度和移动速度。</t>
  </si>
  <si>
    <t>1010001#10000#-1#2#12</t>
  </si>
  <si>
    <t>增加加速效果</t>
  </si>
  <si>
    <t>增加2个增益目标</t>
  </si>
  <si>
    <t>燕十三普攻</t>
  </si>
  <si>
    <t>背袭</t>
  </si>
  <si>
    <t>燕十三技能1</t>
  </si>
  <si>
    <t>击中单一敌人的要害造成伤害并赋予流血状态。</t>
  </si>
  <si>
    <t>2030001#10000#-1#3</t>
  </si>
  <si>
    <t>流血时增加伤害</t>
  </si>
  <si>
    <t>流血时眩晕效果</t>
  </si>
  <si>
    <t>身轻如燕</t>
  </si>
  <si>
    <t>燕十三技能2</t>
  </si>
  <si>
    <t>向自身投掷烟幕在n秒内增加躲避率。</t>
  </si>
  <si>
    <t>1010501#10000#-1#0</t>
  </si>
  <si>
    <t>增加暴击率</t>
  </si>
  <si>
    <t>1010501#10000#-1#0|1010601#10000#-1#0</t>
  </si>
  <si>
    <t>周围友军也享受烟雾效果</t>
  </si>
  <si>
    <t>白无常普攻</t>
  </si>
  <si>
    <t>勾魂</t>
  </si>
  <si>
    <t>白无常技能1</t>
  </si>
  <si>
    <t>普攻向前方劈砍锤子造成范围伤害。</t>
  </si>
  <si>
    <t>1#100</t>
  </si>
  <si>
    <t>厉鬼索命</t>
  </si>
  <si>
    <t>白无常技能2</t>
  </si>
  <si>
    <t>给前方敌人造成范围性伤害。</t>
  </si>
  <si>
    <t>添加浮空效果</t>
  </si>
  <si>
    <t>雨师普攻</t>
  </si>
  <si>
    <t>4204101#1#1#2</t>
  </si>
  <si>
    <t>箭雨</t>
  </si>
  <si>
    <t>雨师技能1</t>
  </si>
  <si>
    <t>以目标为中心下起箭雨造成范围伤害。</t>
  </si>
  <si>
    <t>添加冻伤效果</t>
  </si>
  <si>
    <t>冰冻箭</t>
  </si>
  <si>
    <t>雨师技能2</t>
  </si>
  <si>
    <t>向前方发射冰冻箭对贯通的目标造成伤害并冰冻。</t>
  </si>
  <si>
    <t>4204301#1#1#1</t>
  </si>
  <si>
    <t>黑无常普攻</t>
  </si>
  <si>
    <t>夺魄</t>
  </si>
  <si>
    <t>黑无常技能1</t>
  </si>
  <si>
    <t>向前方敌人连续发射4次锤击，造成范围性伤害。</t>
  </si>
  <si>
    <t>条件减少为普攻4次</t>
  </si>
  <si>
    <t>1#4</t>
  </si>
  <si>
    <t>地狱判决</t>
  </si>
  <si>
    <t>黑无常技能2</t>
  </si>
  <si>
    <t>向前方敌人炫耀力量造成伤害，并减少伤害量。</t>
  </si>
  <si>
    <t>恢复自身生命</t>
  </si>
  <si>
    <t>雷震子普攻</t>
  </si>
  <si>
    <t>42061011#1#1#1</t>
  </si>
  <si>
    <t>雷击</t>
  </si>
  <si>
    <t>雷震子技能1</t>
  </si>
  <si>
    <t>同时向2名敌人发射闪电攻击。</t>
  </si>
  <si>
    <t>雷云压境</t>
  </si>
  <si>
    <t>雷震子技能2</t>
  </si>
  <si>
    <t>以目标为中心发落造成范围伤害的闪电。</t>
  </si>
  <si>
    <t>2#250#250</t>
  </si>
  <si>
    <t>风师普攻</t>
  </si>
  <si>
    <t>寒气强击</t>
  </si>
  <si>
    <t>风师技能1</t>
  </si>
  <si>
    <t>集中力量向一个目标发射带冷空气的剑，并赋予冻伤状态。</t>
  </si>
  <si>
    <t>高级攻击</t>
  </si>
  <si>
    <t>风师技能2</t>
  </si>
  <si>
    <t>增加一起战斗的友军攻击力。</t>
  </si>
  <si>
    <t>206#400</t>
  </si>
  <si>
    <t>增加攻击力</t>
  </si>
  <si>
    <t>206#600</t>
  </si>
  <si>
    <t>206#800</t>
  </si>
  <si>
    <t>江小鱼普攻</t>
  </si>
  <si>
    <t>高级采矿</t>
  </si>
  <si>
    <t>江小鱼技能1</t>
  </si>
  <si>
    <t>增加对矿物的采矿伤害量。</t>
  </si>
  <si>
    <t>230#1</t>
  </si>
  <si>
    <t>增加采矿伤害量</t>
  </si>
  <si>
    <t>中级攻击</t>
  </si>
  <si>
    <t>江小鱼技能2</t>
  </si>
  <si>
    <t>增强一同战斗的友军生命值。</t>
  </si>
  <si>
    <t>202#500</t>
  </si>
  <si>
    <t>增加生命</t>
  </si>
  <si>
    <t>叶成普攻</t>
  </si>
  <si>
    <t>分裂箭</t>
  </si>
  <si>
    <t>叶成技能1</t>
  </si>
  <si>
    <t>同时向2个敌人发射弓箭，造成伤害。</t>
  </si>
  <si>
    <t>赋予中毒效果</t>
  </si>
  <si>
    <t>叶成技能2</t>
  </si>
  <si>
    <t>增加所有人族英雄的攻击力。</t>
  </si>
  <si>
    <t>苏樱普攻</t>
  </si>
  <si>
    <t>治愈</t>
  </si>
  <si>
    <t>苏樱技能1</t>
  </si>
  <si>
    <t>恢复单一友军的生命。</t>
  </si>
  <si>
    <t>仙族攻击</t>
  </si>
  <si>
    <t>苏樱技能2</t>
  </si>
  <si>
    <t>增加所有仙族英雄的攻击力。</t>
  </si>
  <si>
    <t>236#50</t>
  </si>
  <si>
    <t>236#100</t>
  </si>
  <si>
    <t>236#150</t>
  </si>
  <si>
    <t>铁心兰普攻</t>
  </si>
  <si>
    <t>挥砍</t>
  </si>
  <si>
    <t>铁心兰技能1</t>
  </si>
  <si>
    <t>增加伐木伤害量。</t>
  </si>
  <si>
    <t>229#1</t>
  </si>
  <si>
    <t>增加伐木伤害量</t>
  </si>
  <si>
    <t>人族攻击</t>
  </si>
  <si>
    <t>铁心兰技能2</t>
  </si>
  <si>
    <t>232#50</t>
  </si>
  <si>
    <t>232#100</t>
  </si>
  <si>
    <t>232#150</t>
  </si>
  <si>
    <t>明月心普攻</t>
  </si>
  <si>
    <t>守护</t>
  </si>
  <si>
    <t>明月心技能1</t>
  </si>
  <si>
    <t>给予己方添加护盾效果，减免受到的伤害</t>
  </si>
  <si>
    <t>1010407#10000#-1#0</t>
  </si>
  <si>
    <t>灵族攻击</t>
  </si>
  <si>
    <t>明月心技能2</t>
  </si>
  <si>
    <t>增加所有灵族英雄的攻击力。</t>
  </si>
  <si>
    <t>234#50</t>
  </si>
  <si>
    <t>234#100</t>
  </si>
  <si>
    <t>234#150</t>
  </si>
  <si>
    <t>花妖-7000001</t>
  </si>
  <si>
    <t>狐狸-7000002</t>
  </si>
  <si>
    <t>幻魔守卫-7000003</t>
  </si>
  <si>
    <t>幻魔精英守卫-7000004</t>
  </si>
  <si>
    <t>野猪-7000006</t>
  </si>
  <si>
    <t>野猪-7000007</t>
  </si>
  <si>
    <t>虾兵-7000008</t>
  </si>
  <si>
    <t>毒蛇-7000009</t>
  </si>
  <si>
    <t>青蛙-7000010</t>
  </si>
  <si>
    <t>鲤鱼怪-7000011</t>
  </si>
  <si>
    <t>500#670</t>
  </si>
  <si>
    <t>自爆怪-7000012</t>
  </si>
  <si>
    <t>竹子怪-7000013</t>
  </si>
  <si>
    <t>巡山小妖-7000014</t>
  </si>
  <si>
    <t>犀牛精-7000015</t>
  </si>
  <si>
    <t>豺狼弓手-7000016</t>
  </si>
  <si>
    <t>4001016#1#1#2</t>
  </si>
  <si>
    <t>豺狼枪兵-7000017</t>
  </si>
  <si>
    <t>豺狼怪-7000018</t>
  </si>
  <si>
    <t>飞刀狼-7000019</t>
  </si>
  <si>
    <t>4001019#1#1#1</t>
  </si>
  <si>
    <t>紫花妖-7000020</t>
  </si>
  <si>
    <t>4001020#1#1#1</t>
  </si>
  <si>
    <t>蓝豺狼弓手-7000021</t>
  </si>
  <si>
    <t>蓝豺狼枪兵-7000022</t>
  </si>
  <si>
    <t>蓝豺狼怪-7000023</t>
  </si>
  <si>
    <t>蓝飞刀狼-7000024</t>
  </si>
  <si>
    <t>绿豺狼弓手-7000025</t>
  </si>
  <si>
    <t>绿豺狼枪兵-7000026</t>
  </si>
  <si>
    <t>绿豺狼怪-7000027</t>
  </si>
  <si>
    <t>绿飞刀狼-7000028</t>
  </si>
  <si>
    <t>虎王-7000500</t>
  </si>
  <si>
    <t>技能1</t>
  </si>
  <si>
    <t>3080#3250#3420</t>
  </si>
  <si>
    <t>洛水魔姬-7000501</t>
  </si>
  <si>
    <t>1#180</t>
  </si>
  <si>
    <t>夜叉-7000502</t>
  </si>
  <si>
    <t>3460#3960#4460#4960#5460</t>
  </si>
  <si>
    <t>巡海蛟-7000503</t>
  </si>
  <si>
    <t>巡海</t>
  </si>
  <si>
    <t>1#130</t>
  </si>
  <si>
    <t>4001511#100#150|4001511#100#410|4001511#100#660</t>
  </si>
  <si>
    <t>2420#2590#2760</t>
  </si>
  <si>
    <t>树精-7000504</t>
  </si>
  <si>
    <t>狮王-7000505</t>
  </si>
  <si>
    <t>3030002#10000#-1#0</t>
  </si>
  <si>
    <t>鬼将-7000506</t>
  </si>
  <si>
    <t>3420#3920</t>
  </si>
  <si>
    <t>银角大王-7000507</t>
  </si>
  <si>
    <t>4001522#1#1#1</t>
  </si>
  <si>
    <t>1#15</t>
  </si>
  <si>
    <t>黑熊精-7000508</t>
  </si>
  <si>
    <t>2#200#500</t>
  </si>
  <si>
    <t>2670#3080</t>
  </si>
  <si>
    <t>100#30</t>
  </si>
  <si>
    <t>黄金猪-7000509</t>
  </si>
  <si>
    <t>3#120#100</t>
  </si>
  <si>
    <t>3070001#10000#-1#0</t>
  </si>
  <si>
    <t>技能2</t>
  </si>
  <si>
    <t>犀牛精-7000510</t>
  </si>
  <si>
    <t>3#60#65</t>
  </si>
  <si>
    <t>3#120#300</t>
  </si>
  <si>
    <t>1960#2130#2290#2630</t>
  </si>
  <si>
    <t>自身处于疯狂状态在n秒内增加攻击速度。</t>
  </si>
  <si>
    <t>1010802#10000#-1#0</t>
  </si>
  <si>
    <t>1011002#10000#-1#0</t>
  </si>
  <si>
    <t>4206101#1#1#1</t>
  </si>
  <si>
    <t>4206201#2#4#1#20</t>
  </si>
  <si>
    <t>3#120#350</t>
  </si>
  <si>
    <t>2000#2500#3000#3500</t>
  </si>
  <si>
    <t>对前方矩形范围内的目标造成4段伤害。</t>
  </si>
  <si>
    <t>2#200#350</t>
  </si>
  <si>
    <t>1920#2330#2750</t>
  </si>
  <si>
    <t>1920#3170#4420</t>
  </si>
  <si>
    <t>帝释天（援军）</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</si>
</sst>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4">
    <font>
      <sz val="11"/>
      <color theme="1"/>
      <name val="等线"/>
      <charset val="134"/>
      <scheme val="minor"/>
    </font>
    <font>
      <sz val="9"/>
      <color theme="1"/>
      <name val="等线"/>
      <charset val="134"/>
      <scheme val="minor"/>
    </font>
    <font>
      <sz val="11"/>
      <name val="等线"/>
      <charset val="134"/>
      <scheme val="minor"/>
    </font>
    <font>
      <sz val="11"/>
      <color theme="0" tint="-0.499984740745262"/>
      <name val="等线"/>
      <charset val="134"/>
      <scheme val="minor"/>
    </font>
    <font>
      <sz val="11"/>
      <color theme="0" tint="-0.5"/>
      <name val="等线"/>
      <charset val="134"/>
      <scheme val="minor"/>
    </font>
    <font>
      <sz val="11"/>
      <color theme="1"/>
      <name val="微软雅黑"/>
      <charset val="134"/>
    </font>
    <font>
      <sz val="9"/>
      <color theme="1"/>
      <name val="微软雅黑"/>
      <charset val="134"/>
    </font>
    <font>
      <b/>
      <sz val="11"/>
      <color rgb="FFFF0000"/>
      <name val="等线"/>
      <charset val="134"/>
      <scheme val="minor"/>
    </font>
    <font>
      <b/>
      <sz val="9"/>
      <color theme="1"/>
      <name val="微软雅黑"/>
      <charset val="134"/>
    </font>
    <font>
      <b/>
      <sz val="11"/>
      <color theme="0" tint="-0.5"/>
      <name val="等线"/>
      <charset val="134"/>
      <scheme val="minor"/>
    </font>
    <font>
      <sz val="11"/>
      <color rgb="FFFF0000"/>
      <name val="等线"/>
      <charset val="134"/>
      <scheme val="minor"/>
    </font>
    <font>
      <b/>
      <sz val="1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b/>
      <sz val="9"/>
      <name val="宋体"/>
      <charset val="134"/>
    </font>
    <font>
      <sz val="9"/>
      <name val="宋体"/>
      <charset val="134"/>
    </font>
    <font>
      <sz val="10"/>
      <name val="宋体"/>
      <charset val="134"/>
    </font>
  </fonts>
  <fills count="43">
    <fill>
      <patternFill patternType="none"/>
    </fill>
    <fill>
      <patternFill patternType="gray125"/>
    </fill>
    <fill>
      <patternFill patternType="solid">
        <fgColor theme="7"/>
        <bgColor indexed="64"/>
      </patternFill>
    </fill>
    <fill>
      <patternFill patternType="solid">
        <fgColor rgb="FFFFFF00"/>
        <bgColor indexed="64"/>
      </patternFill>
    </fill>
    <fill>
      <patternFill patternType="solid">
        <fgColor theme="5" tint="0.799584948271126"/>
        <bgColor indexed="64"/>
      </patternFill>
    </fill>
    <fill>
      <patternFill patternType="solid">
        <fgColor theme="3" tint="0.6"/>
        <bgColor indexed="64"/>
      </patternFill>
    </fill>
    <fill>
      <patternFill patternType="solid">
        <fgColor theme="8" tint="0.6"/>
        <bgColor indexed="64"/>
      </patternFill>
    </fill>
    <fill>
      <patternFill patternType="solid">
        <fgColor rgb="FF92D050"/>
        <bgColor indexed="64"/>
      </patternFill>
    </fill>
    <fill>
      <patternFill patternType="solid">
        <fgColor theme="2"/>
        <bgColor indexed="64"/>
      </patternFill>
    </fill>
    <fill>
      <patternFill patternType="solid">
        <fgColor theme="4"/>
        <bgColor indexed="64"/>
      </patternFill>
    </fill>
    <fill>
      <patternFill patternType="solid">
        <fgColor theme="9" tint="0.399426252021851"/>
        <bgColor indexed="64"/>
      </patternFill>
    </fill>
    <fill>
      <patternFill patternType="solid">
        <fgColor theme="5" tint="0.79955442976165"/>
        <bgColor indexed="64"/>
      </patternFill>
    </fill>
    <fill>
      <patternFill patternType="solid">
        <fgColor theme="9" tint="0.799615466780602"/>
        <bgColor indexed="64"/>
      </patternFill>
    </fill>
    <fill>
      <patternFill patternType="solid">
        <fgColor theme="9" tint="0.39930417798394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right/>
      <top style="medium">
        <color auto="1"/>
      </top>
      <bottom/>
      <diagonal/>
    </border>
    <border>
      <left/>
      <right/>
      <top/>
      <bottom style="medium">
        <color auto="1"/>
      </bottom>
      <diagonal/>
    </border>
    <border>
      <left style="dashed">
        <color auto="1"/>
      </left>
      <right style="dashed">
        <color auto="1"/>
      </right>
      <top style="dashed">
        <color auto="1"/>
      </top>
      <bottom style="dashed">
        <color auto="1"/>
      </bottom>
      <diagonal/>
    </border>
    <border>
      <left style="medium">
        <color auto="1"/>
      </left>
      <right/>
      <top style="medium">
        <color auto="1"/>
      </top>
      <bottom/>
      <diagonal/>
    </border>
    <border>
      <left style="medium">
        <color auto="1"/>
      </left>
      <right/>
      <top/>
      <bottom/>
      <diagonal/>
    </border>
    <border>
      <left style="medium">
        <color auto="1"/>
      </left>
      <right/>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0" fillId="14" borderId="7"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8" applyNumberFormat="0" applyFill="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19" fillId="0" borderId="0" applyNumberFormat="0" applyFill="0" applyBorder="0" applyAlignment="0" applyProtection="0">
      <alignment vertical="center"/>
    </xf>
    <xf numFmtId="0" fontId="20" fillId="15" borderId="10" applyNumberFormat="0" applyAlignment="0" applyProtection="0">
      <alignment vertical="center"/>
    </xf>
    <xf numFmtId="0" fontId="21" fillId="16" borderId="11" applyNumberFormat="0" applyAlignment="0" applyProtection="0">
      <alignment vertical="center"/>
    </xf>
    <xf numFmtId="0" fontId="22" fillId="16" borderId="10" applyNumberFormat="0" applyAlignment="0" applyProtection="0">
      <alignment vertical="center"/>
    </xf>
    <xf numFmtId="0" fontId="23" fillId="17" borderId="12" applyNumberFormat="0" applyAlignment="0" applyProtection="0">
      <alignment vertical="center"/>
    </xf>
    <xf numFmtId="0" fontId="24" fillId="0" borderId="13" applyNumberFormat="0" applyFill="0" applyAlignment="0" applyProtection="0">
      <alignment vertical="center"/>
    </xf>
    <xf numFmtId="0" fontId="25" fillId="0" borderId="14" applyNumberFormat="0" applyFill="0" applyAlignment="0" applyProtection="0">
      <alignment vertical="center"/>
    </xf>
    <xf numFmtId="0" fontId="26" fillId="18" borderId="0" applyNumberFormat="0" applyBorder="0" applyAlignment="0" applyProtection="0">
      <alignment vertical="center"/>
    </xf>
    <xf numFmtId="0" fontId="27" fillId="19" borderId="0" applyNumberFormat="0" applyBorder="0" applyAlignment="0" applyProtection="0">
      <alignment vertical="center"/>
    </xf>
    <xf numFmtId="0" fontId="28" fillId="20" borderId="0" applyNumberFormat="0" applyBorder="0" applyAlignment="0" applyProtection="0">
      <alignment vertical="center"/>
    </xf>
    <xf numFmtId="0" fontId="29" fillId="9" borderId="0" applyNumberFormat="0" applyBorder="0" applyAlignment="0" applyProtection="0">
      <alignment vertical="center"/>
    </xf>
    <xf numFmtId="0" fontId="30" fillId="21" borderId="0" applyNumberFormat="0" applyBorder="0" applyAlignment="0" applyProtection="0">
      <alignment vertical="center"/>
    </xf>
    <xf numFmtId="0" fontId="30" fillId="22" borderId="0" applyNumberFormat="0" applyBorder="0" applyAlignment="0" applyProtection="0">
      <alignment vertical="center"/>
    </xf>
    <xf numFmtId="0" fontId="29" fillId="23" borderId="0" applyNumberFormat="0" applyBorder="0" applyAlignment="0" applyProtection="0">
      <alignment vertical="center"/>
    </xf>
    <xf numFmtId="0" fontId="29" fillId="24" borderId="0" applyNumberFormat="0" applyBorder="0" applyAlignment="0" applyProtection="0">
      <alignment vertical="center"/>
    </xf>
    <xf numFmtId="0" fontId="30" fillId="25" borderId="0" applyNumberFormat="0" applyBorder="0" applyAlignment="0" applyProtection="0">
      <alignment vertical="center"/>
    </xf>
    <xf numFmtId="0" fontId="30" fillId="26" borderId="0" applyNumberFormat="0" applyBorder="0" applyAlignment="0" applyProtection="0">
      <alignment vertical="center"/>
    </xf>
    <xf numFmtId="0" fontId="29" fillId="27" borderId="0" applyNumberFormat="0" applyBorder="0" applyAlignment="0" applyProtection="0">
      <alignment vertical="center"/>
    </xf>
    <xf numFmtId="0" fontId="29" fillId="28" borderId="0" applyNumberFormat="0" applyBorder="0" applyAlignment="0" applyProtection="0">
      <alignment vertical="center"/>
    </xf>
    <xf numFmtId="0" fontId="30" fillId="29" borderId="0" applyNumberFormat="0" applyBorder="0" applyAlignment="0" applyProtection="0">
      <alignment vertical="center"/>
    </xf>
    <xf numFmtId="0" fontId="30" fillId="30" borderId="0" applyNumberFormat="0" applyBorder="0" applyAlignment="0" applyProtection="0">
      <alignment vertical="center"/>
    </xf>
    <xf numFmtId="0" fontId="29" fillId="31" borderId="0" applyNumberFormat="0" applyBorder="0" applyAlignment="0" applyProtection="0">
      <alignment vertical="center"/>
    </xf>
    <xf numFmtId="0" fontId="29" fillId="2" borderId="0" applyNumberFormat="0" applyBorder="0" applyAlignment="0" applyProtection="0">
      <alignment vertical="center"/>
    </xf>
    <xf numFmtId="0" fontId="30" fillId="32" borderId="0" applyNumberFormat="0" applyBorder="0" applyAlignment="0" applyProtection="0">
      <alignment vertical="center"/>
    </xf>
    <xf numFmtId="0" fontId="30" fillId="33" borderId="0" applyNumberFormat="0" applyBorder="0" applyAlignment="0" applyProtection="0">
      <alignment vertical="center"/>
    </xf>
    <xf numFmtId="0" fontId="29" fillId="34" borderId="0" applyNumberFormat="0" applyBorder="0" applyAlignment="0" applyProtection="0">
      <alignment vertical="center"/>
    </xf>
    <xf numFmtId="0" fontId="29" fillId="35" borderId="0" applyNumberFormat="0" applyBorder="0" applyAlignment="0" applyProtection="0">
      <alignment vertical="center"/>
    </xf>
    <xf numFmtId="0" fontId="30" fillId="36" borderId="0" applyNumberFormat="0" applyBorder="0" applyAlignment="0" applyProtection="0">
      <alignment vertical="center"/>
    </xf>
    <xf numFmtId="0" fontId="30" fillId="37" borderId="0" applyNumberFormat="0" applyBorder="0" applyAlignment="0" applyProtection="0">
      <alignment vertical="center"/>
    </xf>
    <xf numFmtId="0" fontId="29" fillId="38" borderId="0" applyNumberFormat="0" applyBorder="0" applyAlignment="0" applyProtection="0">
      <alignment vertical="center"/>
    </xf>
    <xf numFmtId="0" fontId="29" fillId="39" borderId="0" applyNumberFormat="0" applyBorder="0" applyAlignment="0" applyProtection="0">
      <alignment vertical="center"/>
    </xf>
    <xf numFmtId="0" fontId="30" fillId="40" borderId="0" applyNumberFormat="0" applyBorder="0" applyAlignment="0" applyProtection="0">
      <alignment vertical="center"/>
    </xf>
    <xf numFmtId="0" fontId="30" fillId="41" borderId="0" applyNumberFormat="0" applyBorder="0" applyAlignment="0" applyProtection="0">
      <alignment vertical="center"/>
    </xf>
    <xf numFmtId="0" fontId="29" fillId="42" borderId="0" applyNumberFormat="0" applyBorder="0" applyAlignment="0" applyProtection="0">
      <alignment vertical="center"/>
    </xf>
    <xf numFmtId="0" fontId="0" fillId="0" borderId="0">
      <alignment vertical="center"/>
    </xf>
  </cellStyleXfs>
  <cellXfs count="66">
    <xf numFmtId="0" fontId="0" fillId="0" borderId="0" xfId="0"/>
    <xf numFmtId="0" fontId="0" fillId="0" borderId="0" xfId="0" applyAlignment="1">
      <alignment horizontal="center"/>
    </xf>
    <xf numFmtId="0" fontId="1" fillId="0" borderId="0" xfId="0" applyFont="1" applyAlignment="1">
      <alignment horizontal="left" vertical="top"/>
    </xf>
    <xf numFmtId="0" fontId="2" fillId="2" borderId="0" xfId="0" applyFont="1" applyFill="1" applyAlignment="1">
      <alignment horizontal="center"/>
    </xf>
    <xf numFmtId="0" fontId="2" fillId="3" borderId="0" xfId="0" applyFont="1" applyFill="1" applyAlignment="1">
      <alignment horizontal="center"/>
    </xf>
    <xf numFmtId="0" fontId="2" fillId="4" borderId="0" xfId="0" applyFont="1" applyFill="1" applyAlignment="1">
      <alignment horizontal="center"/>
    </xf>
    <xf numFmtId="0" fontId="2" fillId="0" borderId="0" xfId="0" applyFont="1" applyFill="1" applyAlignment="1">
      <alignment horizontal="center"/>
    </xf>
    <xf numFmtId="0" fontId="2" fillId="2" borderId="1" xfId="0" applyFont="1" applyFill="1" applyBorder="1" applyAlignment="1">
      <alignment horizontal="center"/>
    </xf>
    <xf numFmtId="0" fontId="2" fillId="4" borderId="2" xfId="0" applyFont="1" applyFill="1" applyBorder="1" applyAlignment="1">
      <alignment horizontal="center"/>
    </xf>
    <xf numFmtId="0" fontId="3" fillId="2" borderId="0" xfId="0" applyFont="1" applyFill="1" applyAlignment="1">
      <alignment horizontal="center"/>
    </xf>
    <xf numFmtId="0" fontId="2" fillId="5" borderId="0" xfId="0" applyFont="1" applyFill="1" applyAlignment="1">
      <alignment horizontal="center"/>
    </xf>
    <xf numFmtId="0" fontId="2" fillId="0" borderId="1" xfId="0" applyFont="1" applyFill="1" applyBorder="1" applyAlignment="1">
      <alignment horizontal="center"/>
    </xf>
    <xf numFmtId="0" fontId="2" fillId="0" borderId="2" xfId="0" applyFont="1" applyFill="1" applyBorder="1" applyAlignment="1">
      <alignment horizontal="center"/>
    </xf>
    <xf numFmtId="0" fontId="2" fillId="0" borderId="0" xfId="0" applyFont="1" applyFill="1" applyBorder="1" applyAlignment="1">
      <alignment horizontal="center"/>
    </xf>
    <xf numFmtId="0" fontId="4" fillId="5" borderId="0" xfId="0" applyFont="1" applyFill="1" applyAlignment="1">
      <alignment horizontal="center"/>
    </xf>
    <xf numFmtId="0" fontId="0" fillId="2" borderId="0" xfId="0" applyFill="1" applyAlignment="1">
      <alignment horizontal="center"/>
    </xf>
    <xf numFmtId="0" fontId="0" fillId="0" borderId="0" xfId="0" applyFill="1" applyAlignment="1">
      <alignment horizontal="center"/>
    </xf>
    <xf numFmtId="0" fontId="2" fillId="6" borderId="0" xfId="0" applyFont="1" applyFill="1" applyAlignment="1">
      <alignment horizontal="center"/>
    </xf>
    <xf numFmtId="0" fontId="4" fillId="6" borderId="0" xfId="0" applyFont="1" applyFill="1" applyAlignment="1">
      <alignment horizontal="center"/>
    </xf>
    <xf numFmtId="0" fontId="2" fillId="7" borderId="0" xfId="0" applyFont="1" applyFill="1" applyAlignment="1">
      <alignment horizontal="center"/>
    </xf>
    <xf numFmtId="0" fontId="0" fillId="0" borderId="0" xfId="0" applyFill="1"/>
    <xf numFmtId="0" fontId="2" fillId="8" borderId="0" xfId="0" applyFont="1" applyFill="1" applyAlignment="1">
      <alignment horizontal="center"/>
    </xf>
    <xf numFmtId="0" fontId="3" fillId="0" borderId="0" xfId="0" applyFont="1" applyFill="1" applyAlignment="1">
      <alignment horizontal="center"/>
    </xf>
    <xf numFmtId="0" fontId="0" fillId="9" borderId="0" xfId="0" applyFill="1" applyAlignment="1">
      <alignment horizontal="center"/>
    </xf>
    <xf numFmtId="0" fontId="5" fillId="10" borderId="3" xfId="49" applyFont="1" applyFill="1" applyBorder="1" applyAlignment="1">
      <alignment horizontal="center" vertical="center"/>
    </xf>
    <xf numFmtId="0" fontId="6" fillId="10" borderId="3" xfId="49" applyFont="1" applyFill="1" applyBorder="1" applyAlignment="1">
      <alignment horizontal="left" vertical="top" wrapText="1"/>
    </xf>
    <xf numFmtId="0" fontId="6" fillId="10" borderId="3" xfId="49" applyFont="1" applyFill="1" applyBorder="1" applyAlignment="1">
      <alignment horizontal="left" vertical="top"/>
    </xf>
    <xf numFmtId="0" fontId="3" fillId="3" borderId="0" xfId="0" applyFont="1" applyFill="1" applyAlignment="1">
      <alignment horizontal="center"/>
    </xf>
    <xf numFmtId="0" fontId="7" fillId="3" borderId="0" xfId="0" applyFont="1" applyFill="1" applyAlignment="1">
      <alignment horizontal="center"/>
    </xf>
    <xf numFmtId="0" fontId="3" fillId="4" borderId="0" xfId="0" applyFont="1" applyFill="1" applyAlignment="1">
      <alignment horizontal="center"/>
    </xf>
    <xf numFmtId="0" fontId="7" fillId="4" borderId="0" xfId="0" applyFont="1" applyFill="1" applyAlignment="1">
      <alignment horizontal="center"/>
    </xf>
    <xf numFmtId="0" fontId="2" fillId="2" borderId="4" xfId="0" applyFont="1" applyFill="1" applyBorder="1" applyAlignment="1">
      <alignment horizontal="center"/>
    </xf>
    <xf numFmtId="0" fontId="2" fillId="4" borderId="5" xfId="0" applyFont="1" applyFill="1" applyBorder="1" applyAlignment="1">
      <alignment horizontal="center"/>
    </xf>
    <xf numFmtId="0" fontId="2" fillId="4" borderId="6" xfId="0" applyFont="1" applyFill="1" applyBorder="1" applyAlignment="1">
      <alignment horizontal="center"/>
    </xf>
    <xf numFmtId="0" fontId="2" fillId="4" borderId="0" xfId="0" applyFont="1" applyFill="1" applyAlignment="1">
      <alignment horizontal="center" wrapText="1"/>
    </xf>
    <xf numFmtId="0" fontId="2" fillId="3" borderId="0" xfId="0" applyFont="1" applyFill="1" applyBorder="1" applyAlignment="1">
      <alignment horizontal="center"/>
    </xf>
    <xf numFmtId="0" fontId="2" fillId="11" borderId="0" xfId="0" applyFont="1" applyFill="1" applyBorder="1" applyAlignment="1">
      <alignment horizontal="center"/>
    </xf>
    <xf numFmtId="0" fontId="2" fillId="12" borderId="0" xfId="0" applyFont="1" applyFill="1" applyAlignment="1">
      <alignment horizontal="center"/>
    </xf>
    <xf numFmtId="0" fontId="0" fillId="5" borderId="0" xfId="0" applyFill="1" applyAlignment="1">
      <alignment horizontal="center"/>
    </xf>
    <xf numFmtId="0" fontId="5" fillId="9" borderId="3" xfId="49" applyFont="1" applyFill="1" applyBorder="1" applyAlignment="1">
      <alignment horizontal="center" vertical="center"/>
    </xf>
    <xf numFmtId="0" fontId="8" fillId="9" borderId="3" xfId="49" applyFont="1" applyFill="1" applyBorder="1" applyAlignment="1">
      <alignment horizontal="left" vertical="top" wrapText="1"/>
    </xf>
    <xf numFmtId="0" fontId="2" fillId="9" borderId="0" xfId="0" applyFont="1" applyFill="1" applyAlignment="1">
      <alignment horizontal="center"/>
    </xf>
    <xf numFmtId="0" fontId="2" fillId="9" borderId="1" xfId="0" applyFont="1" applyFill="1" applyBorder="1" applyAlignment="1">
      <alignment horizontal="center"/>
    </xf>
    <xf numFmtId="0" fontId="2" fillId="9" borderId="2" xfId="0" applyFont="1" applyFill="1" applyBorder="1" applyAlignment="1">
      <alignment horizontal="center"/>
    </xf>
    <xf numFmtId="0" fontId="5" fillId="13" borderId="3" xfId="49" applyFont="1" applyFill="1" applyBorder="1" applyAlignment="1">
      <alignment vertical="center"/>
    </xf>
    <xf numFmtId="0" fontId="5" fillId="13" borderId="3" xfId="49" applyFont="1" applyFill="1" applyBorder="1" applyAlignment="1">
      <alignment horizontal="center" vertical="center"/>
    </xf>
    <xf numFmtId="0" fontId="6" fillId="13" borderId="3" xfId="49" applyFont="1" applyFill="1" applyBorder="1" applyAlignment="1">
      <alignment horizontal="left" vertical="top" wrapText="1"/>
    </xf>
    <xf numFmtId="0" fontId="6" fillId="13" borderId="3" xfId="49" applyFont="1" applyFill="1" applyBorder="1" applyAlignment="1">
      <alignment horizontal="left" vertical="top"/>
    </xf>
    <xf numFmtId="0" fontId="3" fillId="5" borderId="0" xfId="0" applyFont="1" applyFill="1" applyAlignment="1">
      <alignment horizontal="center"/>
    </xf>
    <xf numFmtId="0" fontId="7" fillId="5" borderId="0" xfId="0" applyFont="1" applyFill="1" applyAlignment="1">
      <alignment horizontal="center"/>
    </xf>
    <xf numFmtId="0" fontId="3" fillId="9" borderId="0" xfId="0" applyFont="1" applyFill="1" applyAlignment="1">
      <alignment horizontal="center"/>
    </xf>
    <xf numFmtId="0" fontId="2" fillId="0" borderId="4" xfId="0" applyFont="1" applyFill="1" applyBorder="1" applyAlignment="1">
      <alignment horizontal="center"/>
    </xf>
    <xf numFmtId="0" fontId="2" fillId="0" borderId="5" xfId="0" applyFont="1" applyFill="1" applyBorder="1" applyAlignment="1">
      <alignment horizontal="center"/>
    </xf>
    <xf numFmtId="0" fontId="2" fillId="0" borderId="6" xfId="0" applyFont="1" applyFill="1" applyBorder="1" applyAlignment="1">
      <alignment horizontal="center"/>
    </xf>
    <xf numFmtId="0" fontId="2" fillId="8" borderId="0" xfId="0" applyFont="1" applyFill="1" applyBorder="1" applyAlignment="1">
      <alignment horizontal="center"/>
    </xf>
    <xf numFmtId="0" fontId="2" fillId="9" borderId="0" xfId="0" applyFont="1" applyFill="1" applyBorder="1" applyAlignment="1">
      <alignment horizontal="center"/>
    </xf>
    <xf numFmtId="0" fontId="4" fillId="9" borderId="0" xfId="0" applyFont="1" applyFill="1" applyAlignment="1">
      <alignment horizontal="center"/>
    </xf>
    <xf numFmtId="0" fontId="0" fillId="0" borderId="0" xfId="0" applyFont="1" applyFill="1" applyAlignment="1">
      <alignment horizontal="center"/>
    </xf>
    <xf numFmtId="0" fontId="9" fillId="5" borderId="0" xfId="0" applyFont="1" applyFill="1" applyAlignment="1">
      <alignment horizontal="center"/>
    </xf>
    <xf numFmtId="0" fontId="3" fillId="6" borderId="0" xfId="0" applyFont="1" applyFill="1" applyAlignment="1">
      <alignment horizontal="center"/>
    </xf>
    <xf numFmtId="0" fontId="0" fillId="6" borderId="0" xfId="0" applyFont="1" applyFill="1" applyAlignment="1">
      <alignment horizontal="center"/>
    </xf>
    <xf numFmtId="0" fontId="3" fillId="7" borderId="0" xfId="0" applyFont="1" applyFill="1" applyAlignment="1">
      <alignment horizontal="center"/>
    </xf>
    <xf numFmtId="0" fontId="7" fillId="7" borderId="0" xfId="0" applyFont="1" applyFill="1" applyAlignment="1">
      <alignment horizontal="center"/>
    </xf>
    <xf numFmtId="0" fontId="10" fillId="0" borderId="0" xfId="0" applyFont="1" applyFill="1" applyAlignment="1">
      <alignment horizontal="center"/>
    </xf>
    <xf numFmtId="0" fontId="11" fillId="0" borderId="0" xfId="0" applyFont="1" applyFill="1" applyAlignment="1">
      <alignment horizontal="center"/>
    </xf>
    <xf numFmtId="0" fontId="3" fillId="8" borderId="0" xfId="0" applyFont="1" applyFill="1" applyAlignment="1">
      <alignment horizont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dxfs count="2">
    <dxf>
      <font>
        <color rgb="FF9C0006"/>
      </font>
      <fill>
        <patternFill patternType="solid">
          <bgColor rgb="FFFFC7CE"/>
        </patternFill>
      </fill>
    </dxf>
    <dxf>
      <fill>
        <patternFill patternType="solid">
          <bgColor rgb="FFFF9900"/>
        </patternFill>
      </fill>
    </dxf>
  </dxfs>
  <tableStyles count="0" defaultTableStyle="TableStyleMedium2" defaultPivotStyle="PivotStyleLight16"/>
  <colors>
    <mruColors>
      <color rgb="009A73A3"/>
      <color rgb="00C2BFD0"/>
      <color rgb="007E719F"/>
      <color rgb="00EEC1EA"/>
      <color rgb="00FF0000"/>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410"/>
  <sheetViews>
    <sheetView tabSelected="1" workbookViewId="0">
      <pane xSplit="8" ySplit="5" topLeftCell="AC136" activePane="bottomRight" state="frozen"/>
      <selection/>
      <selection pane="topRight"/>
      <selection pane="bottomLeft"/>
      <selection pane="bottomRight" activeCell="H149" sqref="H149"/>
    </sheetView>
  </sheetViews>
  <sheetFormatPr defaultColWidth="9" defaultRowHeight="14.25"/>
  <cols>
    <col min="1" max="1" width="17.625" style="1" customWidth="1"/>
    <col min="2" max="2" width="11.625" style="1" customWidth="1"/>
    <col min="3" max="3" width="15.75" style="1" customWidth="1"/>
    <col min="4" max="4" width="11.125" style="1" customWidth="1"/>
    <col min="5" max="6" width="9.25" style="1" customWidth="1"/>
    <col min="7" max="7" width="8.875" style="1" customWidth="1"/>
    <col min="8" max="8" width="47.75" style="1" customWidth="1"/>
    <col min="9" max="9" width="10.125" style="1" customWidth="1"/>
    <col min="10" max="10" width="36.625" style="1" customWidth="1"/>
    <col min="11" max="11" width="11.625" style="1" customWidth="1"/>
    <col min="12" max="13" width="9.875" style="1" customWidth="1"/>
    <col min="14" max="14" width="16.125" style="1" customWidth="1"/>
    <col min="15" max="15" width="19.25" style="1" customWidth="1"/>
    <col min="16" max="16" width="25.875" style="1" customWidth="1"/>
    <col min="17" max="17" width="11.375" style="1" customWidth="1"/>
    <col min="18" max="18" width="64.625" style="1" customWidth="1"/>
    <col min="19" max="20" width="11.875" style="1" customWidth="1"/>
    <col min="21" max="21" width="10.875" style="1" customWidth="1"/>
    <col min="22" max="22" width="10.625" style="1" customWidth="1"/>
    <col min="23" max="23" width="15.625" style="1" customWidth="1"/>
    <col min="24" max="24" width="21.375" style="1" customWidth="1"/>
    <col min="25" max="25" width="12.875" style="1" customWidth="1"/>
    <col min="26" max="26" width="22.125" style="1" customWidth="1"/>
    <col min="27" max="27" width="8.875" style="1" customWidth="1"/>
    <col min="28" max="30" width="12.875" style="1" customWidth="1"/>
    <col min="31" max="31" width="30.5" style="1" customWidth="1"/>
    <col min="32" max="32" width="17.125" style="23" customWidth="1"/>
    <col min="33" max="33" width="17.125" style="1" customWidth="1"/>
    <col min="34" max="34" width="26.125" style="1" customWidth="1"/>
    <col min="35" max="35" width="41.25" style="1" customWidth="1"/>
    <col min="36" max="36" width="11.375" style="1" customWidth="1"/>
    <col min="37" max="37" width="17.125" style="1" customWidth="1"/>
    <col min="38" max="16384" width="9" style="1"/>
  </cols>
  <sheetData>
    <row r="1" ht="16.5" spans="1:37">
      <c r="A1" s="24" t="s">
        <v>0</v>
      </c>
      <c r="B1" s="24" t="s">
        <v>1</v>
      </c>
      <c r="C1" s="24" t="s">
        <v>2</v>
      </c>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39"/>
      <c r="AG1" s="24"/>
      <c r="AH1" s="44"/>
      <c r="AI1" s="44"/>
      <c r="AJ1" s="24"/>
      <c r="AK1" s="44"/>
    </row>
    <row r="2" s="1" customFormat="1" ht="16.5" spans="1:37">
      <c r="A2" s="24" t="s">
        <v>3</v>
      </c>
      <c r="B2" s="24" t="s">
        <v>4</v>
      </c>
      <c r="C2" s="24" t="s">
        <v>5</v>
      </c>
      <c r="D2" s="24" t="s">
        <v>6</v>
      </c>
      <c r="E2" s="24" t="s">
        <v>7</v>
      </c>
      <c r="F2" s="24" t="s">
        <v>8</v>
      </c>
      <c r="G2" s="24" t="s">
        <v>9</v>
      </c>
      <c r="H2" s="24" t="s">
        <v>10</v>
      </c>
      <c r="I2" s="24" t="s">
        <v>11</v>
      </c>
      <c r="J2" s="24" t="s">
        <v>12</v>
      </c>
      <c r="K2" s="24" t="s">
        <v>13</v>
      </c>
      <c r="L2" s="24" t="s">
        <v>14</v>
      </c>
      <c r="M2" s="24" t="s">
        <v>15</v>
      </c>
      <c r="N2" s="24" t="s">
        <v>16</v>
      </c>
      <c r="O2" s="24" t="s">
        <v>17</v>
      </c>
      <c r="P2" s="24" t="s">
        <v>18</v>
      </c>
      <c r="Q2" s="24" t="s">
        <v>19</v>
      </c>
      <c r="R2" s="24" t="s">
        <v>20</v>
      </c>
      <c r="S2" s="24" t="s">
        <v>21</v>
      </c>
      <c r="T2" s="24" t="s">
        <v>22</v>
      </c>
      <c r="U2" s="24" t="s">
        <v>23</v>
      </c>
      <c r="V2" s="24" t="s">
        <v>24</v>
      </c>
      <c r="W2" s="24" t="s">
        <v>25</v>
      </c>
      <c r="X2" s="24" t="s">
        <v>26</v>
      </c>
      <c r="Y2" s="24" t="s">
        <v>27</v>
      </c>
      <c r="Z2" s="24" t="s">
        <v>28</v>
      </c>
      <c r="AA2" s="24" t="s">
        <v>29</v>
      </c>
      <c r="AB2" s="24" t="s">
        <v>30</v>
      </c>
      <c r="AC2" s="24" t="s">
        <v>31</v>
      </c>
      <c r="AD2" s="24" t="s">
        <v>32</v>
      </c>
      <c r="AE2" s="24" t="s">
        <v>33</v>
      </c>
      <c r="AF2" s="39" t="s">
        <v>34</v>
      </c>
      <c r="AG2" s="24" t="s">
        <v>35</v>
      </c>
      <c r="AH2" s="45" t="s">
        <v>36</v>
      </c>
      <c r="AI2" s="45" t="s">
        <v>37</v>
      </c>
      <c r="AJ2" s="24" t="s">
        <v>38</v>
      </c>
      <c r="AK2" s="45" t="s">
        <v>39</v>
      </c>
    </row>
    <row r="3" s="1" customFormat="1" ht="16.5" spans="1:37">
      <c r="A3" s="24" t="s">
        <v>40</v>
      </c>
      <c r="B3" s="24" t="s">
        <v>40</v>
      </c>
      <c r="C3" s="24" t="s">
        <v>41</v>
      </c>
      <c r="D3" s="24" t="s">
        <v>42</v>
      </c>
      <c r="E3" s="24" t="s">
        <v>42</v>
      </c>
      <c r="F3" s="24" t="s">
        <v>40</v>
      </c>
      <c r="G3" s="24" t="s">
        <v>40</v>
      </c>
      <c r="H3" s="24" t="s">
        <v>41</v>
      </c>
      <c r="I3" s="24" t="s">
        <v>40</v>
      </c>
      <c r="J3" s="24" t="s">
        <v>42</v>
      </c>
      <c r="K3" s="24" t="s">
        <v>40</v>
      </c>
      <c r="L3" s="24" t="s">
        <v>40</v>
      </c>
      <c r="M3" s="24" t="s">
        <v>40</v>
      </c>
      <c r="N3" s="24" t="s">
        <v>40</v>
      </c>
      <c r="O3" s="24" t="s">
        <v>42</v>
      </c>
      <c r="P3" s="24" t="s">
        <v>40</v>
      </c>
      <c r="Q3" s="24" t="s">
        <v>40</v>
      </c>
      <c r="R3" s="24" t="s">
        <v>42</v>
      </c>
      <c r="S3" s="24" t="s">
        <v>43</v>
      </c>
      <c r="T3" s="24" t="s">
        <v>43</v>
      </c>
      <c r="U3" s="24" t="s">
        <v>40</v>
      </c>
      <c r="V3" s="24" t="s">
        <v>40</v>
      </c>
      <c r="W3" s="24" t="s">
        <v>40</v>
      </c>
      <c r="X3" s="24" t="s">
        <v>42</v>
      </c>
      <c r="Y3" s="24" t="s">
        <v>40</v>
      </c>
      <c r="Z3" s="24" t="s">
        <v>40</v>
      </c>
      <c r="AA3" s="24" t="s">
        <v>40</v>
      </c>
      <c r="AB3" s="24" t="s">
        <v>44</v>
      </c>
      <c r="AC3" s="24" t="s">
        <v>40</v>
      </c>
      <c r="AD3" s="24" t="s">
        <v>40</v>
      </c>
      <c r="AE3" s="24" t="s">
        <v>45</v>
      </c>
      <c r="AF3" s="39" t="s">
        <v>42</v>
      </c>
      <c r="AG3" s="24" t="s">
        <v>42</v>
      </c>
      <c r="AH3" s="45" t="s">
        <v>40</v>
      </c>
      <c r="AI3" s="45" t="s">
        <v>42</v>
      </c>
      <c r="AJ3" s="24" t="s">
        <v>46</v>
      </c>
      <c r="AK3" s="45" t="s">
        <v>40</v>
      </c>
    </row>
    <row r="4" ht="16.5" spans="1:37">
      <c r="A4" s="24" t="s">
        <v>47</v>
      </c>
      <c r="B4" s="24" t="s">
        <v>47</v>
      </c>
      <c r="C4" s="24" t="s">
        <v>47</v>
      </c>
      <c r="D4" s="24" t="s">
        <v>48</v>
      </c>
      <c r="E4" s="24" t="s">
        <v>49</v>
      </c>
      <c r="F4" s="24" t="s">
        <v>47</v>
      </c>
      <c r="G4" s="24" t="s">
        <v>47</v>
      </c>
      <c r="H4" s="24" t="s">
        <v>49</v>
      </c>
      <c r="I4" s="24" t="s">
        <v>47</v>
      </c>
      <c r="J4" s="24" t="s">
        <v>47</v>
      </c>
      <c r="K4" s="24" t="s">
        <v>47</v>
      </c>
      <c r="L4" s="24" t="s">
        <v>47</v>
      </c>
      <c r="M4" s="24" t="s">
        <v>47</v>
      </c>
      <c r="N4" s="24" t="s">
        <v>47</v>
      </c>
      <c r="O4" s="24" t="s">
        <v>47</v>
      </c>
      <c r="P4" s="24" t="s">
        <v>47</v>
      </c>
      <c r="Q4" s="24" t="s">
        <v>49</v>
      </c>
      <c r="R4" s="24" t="s">
        <v>49</v>
      </c>
      <c r="S4" s="24" t="s">
        <v>47</v>
      </c>
      <c r="T4" s="24" t="s">
        <v>47</v>
      </c>
      <c r="U4" s="24" t="s">
        <v>47</v>
      </c>
      <c r="V4" s="24" t="s">
        <v>47</v>
      </c>
      <c r="W4" s="24" t="s">
        <v>49</v>
      </c>
      <c r="X4" s="24" t="s">
        <v>49</v>
      </c>
      <c r="Y4" s="24" t="s">
        <v>47</v>
      </c>
      <c r="Z4" s="24" t="s">
        <v>47</v>
      </c>
      <c r="AA4" s="24" t="s">
        <v>47</v>
      </c>
      <c r="AB4" s="24" t="s">
        <v>47</v>
      </c>
      <c r="AC4" s="24" t="s">
        <v>47</v>
      </c>
      <c r="AD4" s="24" t="s">
        <v>47</v>
      </c>
      <c r="AE4" s="24" t="s">
        <v>47</v>
      </c>
      <c r="AF4" s="39" t="s">
        <v>49</v>
      </c>
      <c r="AG4" s="24" t="s">
        <v>49</v>
      </c>
      <c r="AH4" s="45" t="s">
        <v>49</v>
      </c>
      <c r="AI4" s="45" t="s">
        <v>49</v>
      </c>
      <c r="AJ4" s="24" t="s">
        <v>47</v>
      </c>
      <c r="AK4" s="44" t="s">
        <v>47</v>
      </c>
    </row>
    <row r="5" s="2" customFormat="1" ht="160" customHeight="1" spans="1:37">
      <c r="A5" s="25" t="s">
        <v>50</v>
      </c>
      <c r="B5" s="26" t="s">
        <v>51</v>
      </c>
      <c r="C5" s="26" t="s">
        <v>52</v>
      </c>
      <c r="D5" s="26" t="s">
        <v>53</v>
      </c>
      <c r="E5" s="26" t="s">
        <v>54</v>
      </c>
      <c r="F5" s="26" t="s">
        <v>55</v>
      </c>
      <c r="G5" s="26" t="s">
        <v>56</v>
      </c>
      <c r="H5" s="25" t="s">
        <v>57</v>
      </c>
      <c r="I5" s="25" t="s">
        <v>58</v>
      </c>
      <c r="J5" s="25" t="s">
        <v>59</v>
      </c>
      <c r="K5" s="25" t="s">
        <v>60</v>
      </c>
      <c r="L5" s="25" t="s">
        <v>61</v>
      </c>
      <c r="M5" s="25" t="s">
        <v>62</v>
      </c>
      <c r="N5" s="25" t="s">
        <v>63</v>
      </c>
      <c r="O5" s="25" t="s">
        <v>64</v>
      </c>
      <c r="P5" s="25" t="s">
        <v>65</v>
      </c>
      <c r="Q5" s="25" t="s">
        <v>66</v>
      </c>
      <c r="R5" s="25" t="s">
        <v>67</v>
      </c>
      <c r="S5" s="26" t="s">
        <v>68</v>
      </c>
      <c r="T5" s="26" t="s">
        <v>69</v>
      </c>
      <c r="U5" s="26" t="s">
        <v>70</v>
      </c>
      <c r="V5" s="26" t="s">
        <v>71</v>
      </c>
      <c r="W5" s="25" t="s">
        <v>72</v>
      </c>
      <c r="X5" s="25" t="s">
        <v>73</v>
      </c>
      <c r="Y5" s="25" t="s">
        <v>74</v>
      </c>
      <c r="Z5" s="25" t="s">
        <v>75</v>
      </c>
      <c r="AA5" s="26" t="s">
        <v>76</v>
      </c>
      <c r="AB5" s="26" t="s">
        <v>77</v>
      </c>
      <c r="AC5" s="25" t="s">
        <v>78</v>
      </c>
      <c r="AD5" s="25" t="s">
        <v>79</v>
      </c>
      <c r="AE5" s="25" t="s">
        <v>80</v>
      </c>
      <c r="AF5" s="40" t="s">
        <v>81</v>
      </c>
      <c r="AG5" s="25" t="s">
        <v>82</v>
      </c>
      <c r="AH5" s="46" t="s">
        <v>83</v>
      </c>
      <c r="AI5" s="46" t="s">
        <v>84</v>
      </c>
      <c r="AJ5" s="26" t="s">
        <v>85</v>
      </c>
      <c r="AK5" s="47" t="s">
        <v>86</v>
      </c>
    </row>
    <row r="6" s="3" customFormat="1" spans="1:37">
      <c r="A6" s="3">
        <v>4401101</v>
      </c>
      <c r="B6" s="3">
        <v>4401101</v>
      </c>
      <c r="C6" s="3" t="s">
        <v>87</v>
      </c>
      <c r="D6" s="3" t="s">
        <v>88</v>
      </c>
      <c r="F6" s="3">
        <v>1</v>
      </c>
      <c r="G6" s="3">
        <v>1</v>
      </c>
      <c r="I6" s="3">
        <v>1</v>
      </c>
      <c r="K6" s="3">
        <v>3</v>
      </c>
      <c r="L6" s="3">
        <v>65</v>
      </c>
      <c r="M6" s="3">
        <v>1</v>
      </c>
      <c r="N6" s="3">
        <v>1</v>
      </c>
      <c r="O6" s="3">
        <v>0</v>
      </c>
      <c r="P6" s="3">
        <v>1</v>
      </c>
      <c r="Q6" s="3">
        <v>4401101</v>
      </c>
      <c r="U6" s="3">
        <v>0</v>
      </c>
      <c r="V6" s="3">
        <v>10000</v>
      </c>
      <c r="W6" s="3">
        <f>X6-100</f>
        <v>430</v>
      </c>
      <c r="X6" s="3">
        <v>530</v>
      </c>
      <c r="Y6" s="3">
        <v>670</v>
      </c>
      <c r="Z6" s="3">
        <f>Y6+50</f>
        <v>720</v>
      </c>
      <c r="AA6" s="3">
        <f>1000-Z6</f>
        <v>280</v>
      </c>
      <c r="AC6" s="3">
        <v>1</v>
      </c>
      <c r="AD6" s="3">
        <v>0</v>
      </c>
      <c r="AF6" s="41"/>
      <c r="AH6" s="3">
        <v>0</v>
      </c>
      <c r="AI6" s="3">
        <v>0</v>
      </c>
      <c r="AJ6" s="3">
        <v>0</v>
      </c>
      <c r="AK6" s="3">
        <v>0</v>
      </c>
    </row>
    <row r="7" s="4" customFormat="1" spans="1:37">
      <c r="A7" s="4">
        <v>4401201</v>
      </c>
      <c r="B7" s="4">
        <v>4401201</v>
      </c>
      <c r="C7" s="4" t="s">
        <v>89</v>
      </c>
      <c r="D7" s="4" t="s">
        <v>90</v>
      </c>
      <c r="E7" s="4">
        <v>4401201</v>
      </c>
      <c r="F7" s="4">
        <v>2</v>
      </c>
      <c r="G7" s="4">
        <v>1</v>
      </c>
      <c r="H7" s="4" t="s">
        <v>91</v>
      </c>
      <c r="I7" s="4">
        <v>2</v>
      </c>
      <c r="K7" s="4">
        <v>3</v>
      </c>
      <c r="L7" s="4">
        <v>100</v>
      </c>
      <c r="M7" s="4">
        <v>2</v>
      </c>
      <c r="N7" s="4">
        <v>1</v>
      </c>
      <c r="O7" s="4">
        <v>0</v>
      </c>
      <c r="P7" s="4">
        <v>1</v>
      </c>
      <c r="Q7" s="4">
        <v>4401201</v>
      </c>
      <c r="U7" s="4">
        <v>0</v>
      </c>
      <c r="V7" s="4">
        <v>15000</v>
      </c>
      <c r="W7" s="4">
        <f t="shared" ref="W7:W42" si="0">X7-100</f>
        <v>900</v>
      </c>
      <c r="X7" s="4">
        <v>1000</v>
      </c>
      <c r="Y7" s="4">
        <v>1170</v>
      </c>
      <c r="Z7" s="4">
        <f t="shared" ref="Z7:Z42" si="1">Y7+50</f>
        <v>1220</v>
      </c>
      <c r="AA7" s="4">
        <v>-1</v>
      </c>
      <c r="AB7" s="4" t="s">
        <v>92</v>
      </c>
      <c r="AC7" s="4">
        <v>1</v>
      </c>
      <c r="AD7" s="4">
        <v>1</v>
      </c>
      <c r="AE7" s="4" t="s">
        <v>93</v>
      </c>
      <c r="AF7" s="41"/>
      <c r="AH7" s="6">
        <v>0</v>
      </c>
      <c r="AI7" s="6">
        <v>0</v>
      </c>
      <c r="AJ7" s="4">
        <v>0</v>
      </c>
      <c r="AK7" s="4">
        <v>0</v>
      </c>
    </row>
    <row r="8" s="4" customFormat="1" spans="1:37">
      <c r="A8" s="4">
        <v>4401202</v>
      </c>
      <c r="B8" s="4">
        <v>4401201</v>
      </c>
      <c r="C8" s="4" t="s">
        <v>89</v>
      </c>
      <c r="D8" s="4" t="s">
        <v>90</v>
      </c>
      <c r="E8" s="4">
        <v>4401201</v>
      </c>
      <c r="F8" s="4">
        <v>2</v>
      </c>
      <c r="G8" s="4">
        <v>2</v>
      </c>
      <c r="H8" s="4" t="s">
        <v>94</v>
      </c>
      <c r="I8" s="4">
        <v>2</v>
      </c>
      <c r="K8" s="4">
        <v>3</v>
      </c>
      <c r="L8" s="4">
        <v>100</v>
      </c>
      <c r="M8" s="4">
        <v>2</v>
      </c>
      <c r="N8" s="4">
        <v>1</v>
      </c>
      <c r="O8" s="4">
        <v>0</v>
      </c>
      <c r="P8" s="4">
        <v>1</v>
      </c>
      <c r="Q8" s="4">
        <v>4401201</v>
      </c>
      <c r="U8" s="4">
        <v>0</v>
      </c>
      <c r="V8" s="4">
        <v>20000</v>
      </c>
      <c r="W8" s="4">
        <f t="shared" si="0"/>
        <v>900</v>
      </c>
      <c r="X8" s="4">
        <v>1000</v>
      </c>
      <c r="Y8" s="4">
        <v>1170</v>
      </c>
      <c r="Z8" s="4">
        <f t="shared" si="1"/>
        <v>1220</v>
      </c>
      <c r="AA8" s="4">
        <v>-1</v>
      </c>
      <c r="AB8" s="4" t="s">
        <v>92</v>
      </c>
      <c r="AC8" s="4">
        <v>1</v>
      </c>
      <c r="AD8" s="4">
        <v>1</v>
      </c>
      <c r="AE8" s="4" t="s">
        <v>95</v>
      </c>
      <c r="AF8" s="41"/>
      <c r="AH8" s="6">
        <v>0</v>
      </c>
      <c r="AI8" s="6">
        <v>0</v>
      </c>
      <c r="AJ8" s="4">
        <v>0</v>
      </c>
      <c r="AK8" s="4">
        <v>0</v>
      </c>
    </row>
    <row r="9" s="4" customFormat="1" spans="1:37">
      <c r="A9" s="4">
        <v>4401203</v>
      </c>
      <c r="B9" s="4">
        <v>4401201</v>
      </c>
      <c r="C9" s="4" t="s">
        <v>89</v>
      </c>
      <c r="D9" s="4" t="s">
        <v>90</v>
      </c>
      <c r="E9" s="4">
        <v>4401201</v>
      </c>
      <c r="F9" s="4">
        <v>2</v>
      </c>
      <c r="G9" s="4">
        <v>3</v>
      </c>
      <c r="H9" s="4" t="s">
        <v>94</v>
      </c>
      <c r="I9" s="4">
        <v>2</v>
      </c>
      <c r="K9" s="4">
        <v>3</v>
      </c>
      <c r="L9" s="4">
        <v>100</v>
      </c>
      <c r="M9" s="4">
        <v>2</v>
      </c>
      <c r="N9" s="4">
        <v>1</v>
      </c>
      <c r="O9" s="4">
        <v>0</v>
      </c>
      <c r="P9" s="4">
        <v>1</v>
      </c>
      <c r="Q9" s="4">
        <v>4401201</v>
      </c>
      <c r="U9" s="4">
        <v>0</v>
      </c>
      <c r="V9" s="4">
        <v>25000</v>
      </c>
      <c r="W9" s="4">
        <f t="shared" si="0"/>
        <v>900</v>
      </c>
      <c r="X9" s="4">
        <v>1000</v>
      </c>
      <c r="Y9" s="4">
        <v>1170</v>
      </c>
      <c r="Z9" s="4">
        <f t="shared" si="1"/>
        <v>1220</v>
      </c>
      <c r="AA9" s="4">
        <v>-1</v>
      </c>
      <c r="AB9" s="4" t="s">
        <v>92</v>
      </c>
      <c r="AC9" s="4">
        <v>1</v>
      </c>
      <c r="AD9" s="4">
        <v>1</v>
      </c>
      <c r="AE9" s="4" t="s">
        <v>96</v>
      </c>
      <c r="AF9" s="41"/>
      <c r="AH9" s="6">
        <v>0</v>
      </c>
      <c r="AI9" s="6">
        <v>0</v>
      </c>
      <c r="AJ9" s="4">
        <v>0</v>
      </c>
      <c r="AK9" s="4">
        <v>0</v>
      </c>
    </row>
    <row r="10" s="4" customFormat="1" spans="1:37">
      <c r="A10" s="4">
        <v>4401301</v>
      </c>
      <c r="B10" s="4">
        <v>4401301</v>
      </c>
      <c r="C10" s="4" t="s">
        <v>97</v>
      </c>
      <c r="D10" s="4" t="s">
        <v>98</v>
      </c>
      <c r="E10" s="4">
        <v>4401301</v>
      </c>
      <c r="F10" s="4">
        <v>2</v>
      </c>
      <c r="G10" s="4">
        <v>1</v>
      </c>
      <c r="H10" s="4" t="s">
        <v>99</v>
      </c>
      <c r="I10" s="4">
        <v>4</v>
      </c>
      <c r="K10" s="4">
        <v>1</v>
      </c>
      <c r="L10" s="4">
        <v>300</v>
      </c>
      <c r="M10" s="4">
        <v>3</v>
      </c>
      <c r="N10" s="4">
        <v>2</v>
      </c>
      <c r="O10" s="4" t="s">
        <v>100</v>
      </c>
      <c r="P10" s="4">
        <v>20</v>
      </c>
      <c r="Q10" s="4">
        <v>4401301</v>
      </c>
      <c r="U10" s="4">
        <v>0</v>
      </c>
      <c r="V10" s="4">
        <v>10000</v>
      </c>
      <c r="W10" s="4">
        <f t="shared" si="0"/>
        <v>900</v>
      </c>
      <c r="X10" s="4">
        <v>1000</v>
      </c>
      <c r="Y10" s="4">
        <v>1080</v>
      </c>
      <c r="Z10" s="4">
        <f t="shared" si="1"/>
        <v>1130</v>
      </c>
      <c r="AA10" s="4">
        <v>20000</v>
      </c>
      <c r="AC10" s="4">
        <v>2</v>
      </c>
      <c r="AD10" s="4">
        <v>1</v>
      </c>
      <c r="AE10" s="4" t="s">
        <v>101</v>
      </c>
      <c r="AF10" s="41"/>
      <c r="AH10" s="6">
        <v>0</v>
      </c>
      <c r="AI10" s="6">
        <v>0</v>
      </c>
      <c r="AJ10" s="4">
        <v>0</v>
      </c>
      <c r="AK10" s="4">
        <v>0</v>
      </c>
    </row>
    <row r="11" s="4" customFormat="1" spans="1:37">
      <c r="A11" s="4">
        <v>4401302</v>
      </c>
      <c r="B11" s="4">
        <v>4401301</v>
      </c>
      <c r="C11" s="4" t="s">
        <v>97</v>
      </c>
      <c r="D11" s="4" t="s">
        <v>98</v>
      </c>
      <c r="E11" s="4">
        <v>4401301</v>
      </c>
      <c r="F11" s="4">
        <v>2</v>
      </c>
      <c r="G11" s="4">
        <v>2</v>
      </c>
      <c r="H11" s="4" t="s">
        <v>102</v>
      </c>
      <c r="I11" s="4">
        <v>4</v>
      </c>
      <c r="K11" s="4">
        <v>1</v>
      </c>
      <c r="L11" s="4">
        <v>300</v>
      </c>
      <c r="M11" s="4">
        <v>3</v>
      </c>
      <c r="N11" s="4">
        <v>2</v>
      </c>
      <c r="O11" s="4" t="s">
        <v>100</v>
      </c>
      <c r="P11" s="4">
        <v>20</v>
      </c>
      <c r="Q11" s="4">
        <v>4401301</v>
      </c>
      <c r="U11" s="4">
        <v>0</v>
      </c>
      <c r="V11" s="4">
        <v>10000</v>
      </c>
      <c r="W11" s="4">
        <f t="shared" si="0"/>
        <v>900</v>
      </c>
      <c r="X11" s="4">
        <v>1000</v>
      </c>
      <c r="Y11" s="4">
        <v>1080</v>
      </c>
      <c r="Z11" s="4">
        <f t="shared" si="1"/>
        <v>1130</v>
      </c>
      <c r="AA11" s="4">
        <v>20000</v>
      </c>
      <c r="AC11" s="4">
        <v>2</v>
      </c>
      <c r="AD11" s="4">
        <v>1</v>
      </c>
      <c r="AE11" s="4" t="s">
        <v>103</v>
      </c>
      <c r="AF11" s="41"/>
      <c r="AH11" s="6">
        <v>0</v>
      </c>
      <c r="AI11" s="6">
        <v>0</v>
      </c>
      <c r="AJ11" s="4">
        <v>0</v>
      </c>
      <c r="AK11" s="4">
        <v>0</v>
      </c>
    </row>
    <row r="12" s="4" customFormat="1" spans="1:37">
      <c r="A12" s="4">
        <v>4401303</v>
      </c>
      <c r="B12" s="4">
        <v>4401301</v>
      </c>
      <c r="C12" s="4" t="s">
        <v>97</v>
      </c>
      <c r="D12" s="4" t="s">
        <v>98</v>
      </c>
      <c r="E12" s="4">
        <v>4401301</v>
      </c>
      <c r="F12" s="4">
        <v>2</v>
      </c>
      <c r="G12" s="4">
        <v>3</v>
      </c>
      <c r="H12" s="4" t="s">
        <v>104</v>
      </c>
      <c r="I12" s="4">
        <v>4</v>
      </c>
      <c r="K12" s="4">
        <v>1</v>
      </c>
      <c r="L12" s="4">
        <v>300</v>
      </c>
      <c r="M12" s="4">
        <v>3</v>
      </c>
      <c r="N12" s="4">
        <v>2</v>
      </c>
      <c r="O12" s="4" t="s">
        <v>100</v>
      </c>
      <c r="P12" s="4">
        <v>20</v>
      </c>
      <c r="Q12" s="4">
        <v>4401301</v>
      </c>
      <c r="U12" s="4">
        <v>0</v>
      </c>
      <c r="V12" s="4">
        <v>10000</v>
      </c>
      <c r="W12" s="4">
        <f t="shared" si="0"/>
        <v>900</v>
      </c>
      <c r="X12" s="4">
        <v>1000</v>
      </c>
      <c r="Y12" s="4">
        <v>1080</v>
      </c>
      <c r="Z12" s="4">
        <f t="shared" si="1"/>
        <v>1130</v>
      </c>
      <c r="AA12" s="4">
        <v>20000</v>
      </c>
      <c r="AC12" s="4">
        <v>2</v>
      </c>
      <c r="AD12" s="4">
        <v>1</v>
      </c>
      <c r="AE12" s="4" t="s">
        <v>105</v>
      </c>
      <c r="AF12" s="41"/>
      <c r="AH12" s="6">
        <v>0</v>
      </c>
      <c r="AI12" s="6">
        <v>0</v>
      </c>
      <c r="AJ12" s="4">
        <v>0</v>
      </c>
      <c r="AK12" s="4">
        <v>0</v>
      </c>
    </row>
    <row r="13" s="3" customFormat="1" spans="1:37">
      <c r="A13" s="3">
        <v>4402101</v>
      </c>
      <c r="B13" s="3">
        <v>4402101</v>
      </c>
      <c r="C13" s="3" t="s">
        <v>87</v>
      </c>
      <c r="D13" s="3" t="s">
        <v>106</v>
      </c>
      <c r="F13" s="3">
        <v>1</v>
      </c>
      <c r="G13" s="3">
        <v>1</v>
      </c>
      <c r="I13" s="3">
        <v>1</v>
      </c>
      <c r="K13" s="3">
        <v>3</v>
      </c>
      <c r="L13" s="3">
        <v>65</v>
      </c>
      <c r="M13" s="3">
        <v>1</v>
      </c>
      <c r="N13" s="3">
        <v>1</v>
      </c>
      <c r="O13" s="3">
        <v>0</v>
      </c>
      <c r="P13" s="3">
        <v>1</v>
      </c>
      <c r="Q13" s="3">
        <v>4402101</v>
      </c>
      <c r="U13" s="3">
        <v>0</v>
      </c>
      <c r="V13" s="3">
        <v>10000</v>
      </c>
      <c r="W13" s="3">
        <f t="shared" si="0"/>
        <v>260</v>
      </c>
      <c r="X13" s="3">
        <v>360</v>
      </c>
      <c r="Y13" s="3">
        <v>420</v>
      </c>
      <c r="Z13" s="3">
        <f t="shared" si="1"/>
        <v>470</v>
      </c>
      <c r="AA13" s="3">
        <f>1000-Z13</f>
        <v>530</v>
      </c>
      <c r="AC13" s="3">
        <v>1</v>
      </c>
      <c r="AD13" s="3">
        <v>0</v>
      </c>
      <c r="AF13" s="41"/>
      <c r="AH13" s="3">
        <v>0</v>
      </c>
      <c r="AI13" s="3">
        <v>0</v>
      </c>
      <c r="AJ13" s="3">
        <v>0</v>
      </c>
      <c r="AK13" s="3">
        <v>0</v>
      </c>
    </row>
    <row r="14" s="4" customFormat="1" spans="1:37">
      <c r="A14" s="4">
        <v>4402201</v>
      </c>
      <c r="B14" s="4">
        <v>4402201</v>
      </c>
      <c r="C14" s="4" t="s">
        <v>107</v>
      </c>
      <c r="D14" s="4" t="s">
        <v>108</v>
      </c>
      <c r="E14" s="4">
        <v>4402201</v>
      </c>
      <c r="F14" s="4">
        <v>2</v>
      </c>
      <c r="G14" s="4">
        <v>1</v>
      </c>
      <c r="H14" s="4" t="s">
        <v>109</v>
      </c>
      <c r="I14" s="4">
        <v>2</v>
      </c>
      <c r="K14" s="4">
        <v>3</v>
      </c>
      <c r="L14" s="4">
        <v>200</v>
      </c>
      <c r="M14" s="4">
        <v>2</v>
      </c>
      <c r="N14" s="4">
        <v>2</v>
      </c>
      <c r="O14" s="4" t="s">
        <v>110</v>
      </c>
      <c r="P14" s="4">
        <v>3</v>
      </c>
      <c r="Q14" s="4">
        <v>4402201</v>
      </c>
      <c r="U14" s="4">
        <v>0</v>
      </c>
      <c r="V14" s="4">
        <v>12000</v>
      </c>
      <c r="W14" s="4">
        <f t="shared" si="0"/>
        <v>780</v>
      </c>
      <c r="X14" s="4">
        <v>880</v>
      </c>
      <c r="Y14" s="4">
        <v>1130</v>
      </c>
      <c r="Z14" s="4">
        <f t="shared" si="1"/>
        <v>1180</v>
      </c>
      <c r="AA14" s="4">
        <v>-1</v>
      </c>
      <c r="AB14" s="4" t="s">
        <v>111</v>
      </c>
      <c r="AC14" s="4">
        <v>1</v>
      </c>
      <c r="AD14" s="4">
        <v>2</v>
      </c>
      <c r="AE14" s="4" t="s">
        <v>112</v>
      </c>
      <c r="AF14" s="41"/>
      <c r="AH14" s="6">
        <v>0</v>
      </c>
      <c r="AI14" s="6">
        <v>0</v>
      </c>
      <c r="AJ14" s="4">
        <v>0</v>
      </c>
      <c r="AK14" s="4">
        <v>0</v>
      </c>
    </row>
    <row r="15" s="4" customFormat="1" spans="1:37">
      <c r="A15" s="4">
        <v>4402202</v>
      </c>
      <c r="B15" s="4">
        <v>4402201</v>
      </c>
      <c r="C15" s="4" t="s">
        <v>107</v>
      </c>
      <c r="D15" s="4" t="s">
        <v>108</v>
      </c>
      <c r="E15" s="4">
        <v>4402201</v>
      </c>
      <c r="F15" s="4">
        <v>2</v>
      </c>
      <c r="G15" s="4">
        <v>2</v>
      </c>
      <c r="H15" s="4" t="s">
        <v>113</v>
      </c>
      <c r="I15" s="4">
        <v>2</v>
      </c>
      <c r="K15" s="4">
        <v>3</v>
      </c>
      <c r="L15" s="4">
        <v>200</v>
      </c>
      <c r="M15" s="4">
        <v>2</v>
      </c>
      <c r="N15" s="4">
        <v>2</v>
      </c>
      <c r="O15" s="4" t="s">
        <v>110</v>
      </c>
      <c r="P15" s="4">
        <v>3</v>
      </c>
      <c r="Q15" s="4">
        <v>4402201</v>
      </c>
      <c r="U15" s="4">
        <v>0</v>
      </c>
      <c r="V15" s="4">
        <v>12000</v>
      </c>
      <c r="W15" s="4">
        <f t="shared" si="0"/>
        <v>780</v>
      </c>
      <c r="X15" s="4">
        <v>880</v>
      </c>
      <c r="Y15" s="4">
        <v>1130</v>
      </c>
      <c r="Z15" s="4">
        <f t="shared" si="1"/>
        <v>1180</v>
      </c>
      <c r="AA15" s="4">
        <v>-1</v>
      </c>
      <c r="AB15" s="4" t="s">
        <v>111</v>
      </c>
      <c r="AC15" s="4">
        <v>1</v>
      </c>
      <c r="AD15" s="4">
        <v>2</v>
      </c>
      <c r="AE15" s="4" t="s">
        <v>112</v>
      </c>
      <c r="AF15" s="41" t="s">
        <v>114</v>
      </c>
      <c r="AG15" s="4" t="s">
        <v>115</v>
      </c>
      <c r="AH15" s="6">
        <v>0</v>
      </c>
      <c r="AI15" s="6">
        <v>0</v>
      </c>
      <c r="AJ15" s="4">
        <v>0</v>
      </c>
      <c r="AK15" s="4">
        <v>0</v>
      </c>
    </row>
    <row r="16" s="4" customFormat="1" spans="1:37">
      <c r="A16" s="4">
        <v>4402203</v>
      </c>
      <c r="B16" s="4">
        <v>4402201</v>
      </c>
      <c r="C16" s="4" t="s">
        <v>107</v>
      </c>
      <c r="D16" s="4" t="s">
        <v>108</v>
      </c>
      <c r="E16" s="4">
        <v>4402201</v>
      </c>
      <c r="F16" s="4">
        <v>2</v>
      </c>
      <c r="G16" s="4">
        <v>3</v>
      </c>
      <c r="H16" s="4" t="s">
        <v>116</v>
      </c>
      <c r="I16" s="4">
        <v>2</v>
      </c>
      <c r="K16" s="4">
        <v>3</v>
      </c>
      <c r="L16" s="4">
        <v>200</v>
      </c>
      <c r="M16" s="4">
        <v>2</v>
      </c>
      <c r="N16" s="4">
        <v>2</v>
      </c>
      <c r="O16" s="4" t="s">
        <v>110</v>
      </c>
      <c r="P16" s="4">
        <v>3</v>
      </c>
      <c r="Q16" s="4">
        <v>4402201</v>
      </c>
      <c r="U16" s="4">
        <v>0</v>
      </c>
      <c r="V16" s="4">
        <v>12000</v>
      </c>
      <c r="W16" s="4">
        <f t="shared" si="0"/>
        <v>780</v>
      </c>
      <c r="X16" s="4">
        <v>880</v>
      </c>
      <c r="Y16" s="4">
        <v>1130</v>
      </c>
      <c r="Z16" s="4">
        <f t="shared" si="1"/>
        <v>1180</v>
      </c>
      <c r="AA16" s="4">
        <v>-1</v>
      </c>
      <c r="AB16" s="4" t="s">
        <v>111</v>
      </c>
      <c r="AC16" s="4">
        <v>1</v>
      </c>
      <c r="AD16" s="4">
        <v>2</v>
      </c>
      <c r="AE16" s="4" t="s">
        <v>117</v>
      </c>
      <c r="AF16" s="41" t="s">
        <v>114</v>
      </c>
      <c r="AG16" s="4" t="s">
        <v>118</v>
      </c>
      <c r="AH16" s="6">
        <v>0</v>
      </c>
      <c r="AI16" s="6">
        <v>0</v>
      </c>
      <c r="AJ16" s="4">
        <v>0</v>
      </c>
      <c r="AK16" s="4">
        <v>0</v>
      </c>
    </row>
    <row r="17" s="4" customFormat="1" spans="1:37">
      <c r="A17" s="4">
        <v>4402301</v>
      </c>
      <c r="B17" s="4">
        <v>4402301</v>
      </c>
      <c r="C17" s="4" t="s">
        <v>119</v>
      </c>
      <c r="D17" s="4" t="s">
        <v>120</v>
      </c>
      <c r="E17" s="4">
        <v>4402301</v>
      </c>
      <c r="F17" s="4">
        <v>2</v>
      </c>
      <c r="G17" s="4">
        <v>1</v>
      </c>
      <c r="H17" s="4" t="s">
        <v>121</v>
      </c>
      <c r="I17" s="4">
        <v>2</v>
      </c>
      <c r="K17" s="4">
        <v>3</v>
      </c>
      <c r="L17" s="4">
        <v>300</v>
      </c>
      <c r="M17" s="4">
        <v>3</v>
      </c>
      <c r="N17" s="4">
        <v>2</v>
      </c>
      <c r="O17" s="4" t="s">
        <v>122</v>
      </c>
      <c r="P17" s="4">
        <v>10</v>
      </c>
      <c r="Q17" s="4">
        <v>4402301</v>
      </c>
      <c r="U17" s="4">
        <v>0</v>
      </c>
      <c r="V17" s="4">
        <v>20000</v>
      </c>
      <c r="W17" s="4">
        <f t="shared" si="0"/>
        <v>820</v>
      </c>
      <c r="X17" s="4">
        <v>920</v>
      </c>
      <c r="Y17" s="4">
        <v>920</v>
      </c>
      <c r="Z17" s="4">
        <f t="shared" si="1"/>
        <v>970</v>
      </c>
      <c r="AA17" s="4">
        <v>12000</v>
      </c>
      <c r="AC17" s="4">
        <v>1</v>
      </c>
      <c r="AD17" s="4">
        <v>1</v>
      </c>
      <c r="AE17" s="4" t="s">
        <v>123</v>
      </c>
      <c r="AF17" s="41"/>
      <c r="AH17" s="6">
        <v>1</v>
      </c>
      <c r="AI17" s="6" t="s">
        <v>124</v>
      </c>
      <c r="AJ17" s="4">
        <v>0</v>
      </c>
      <c r="AK17" s="4">
        <v>0</v>
      </c>
    </row>
    <row r="18" s="4" customFormat="1" spans="1:37">
      <c r="A18" s="4">
        <v>4402302</v>
      </c>
      <c r="B18" s="4">
        <v>4402301</v>
      </c>
      <c r="C18" s="4" t="s">
        <v>119</v>
      </c>
      <c r="D18" s="4" t="s">
        <v>120</v>
      </c>
      <c r="E18" s="4">
        <v>4402301</v>
      </c>
      <c r="F18" s="4">
        <v>2</v>
      </c>
      <c r="G18" s="4">
        <v>2</v>
      </c>
      <c r="H18" s="4" t="s">
        <v>125</v>
      </c>
      <c r="I18" s="4">
        <v>2</v>
      </c>
      <c r="K18" s="4">
        <v>3</v>
      </c>
      <c r="L18" s="4">
        <v>300</v>
      </c>
      <c r="M18" s="4">
        <v>3</v>
      </c>
      <c r="N18" s="4">
        <v>2</v>
      </c>
      <c r="O18" s="4" t="s">
        <v>122</v>
      </c>
      <c r="P18" s="4">
        <v>10</v>
      </c>
      <c r="Q18" s="4">
        <v>4402301</v>
      </c>
      <c r="U18" s="4">
        <v>0</v>
      </c>
      <c r="V18" s="4">
        <v>20000</v>
      </c>
      <c r="W18" s="4">
        <f t="shared" si="0"/>
        <v>820</v>
      </c>
      <c r="X18" s="4">
        <v>920</v>
      </c>
      <c r="Y18" s="4">
        <v>920</v>
      </c>
      <c r="Z18" s="4">
        <f t="shared" si="1"/>
        <v>970</v>
      </c>
      <c r="AA18" s="4">
        <v>12000</v>
      </c>
      <c r="AC18" s="4">
        <v>1</v>
      </c>
      <c r="AD18" s="4">
        <v>1</v>
      </c>
      <c r="AE18" s="4" t="s">
        <v>123</v>
      </c>
      <c r="AF18" s="41"/>
      <c r="AH18" s="6">
        <v>1</v>
      </c>
      <c r="AI18" s="6" t="s">
        <v>124</v>
      </c>
      <c r="AJ18" s="4">
        <v>0</v>
      </c>
      <c r="AK18" s="4">
        <v>0</v>
      </c>
    </row>
    <row r="19" s="4" customFormat="1" spans="1:37">
      <c r="A19" s="4">
        <v>4402303</v>
      </c>
      <c r="B19" s="4">
        <v>4402301</v>
      </c>
      <c r="C19" s="4" t="s">
        <v>119</v>
      </c>
      <c r="D19" s="4" t="s">
        <v>120</v>
      </c>
      <c r="E19" s="4">
        <v>4402301</v>
      </c>
      <c r="F19" s="4">
        <v>2</v>
      </c>
      <c r="G19" s="4">
        <v>3</v>
      </c>
      <c r="H19" s="4" t="s">
        <v>126</v>
      </c>
      <c r="I19" s="4">
        <v>2</v>
      </c>
      <c r="K19" s="4">
        <v>3</v>
      </c>
      <c r="L19" s="4">
        <v>300</v>
      </c>
      <c r="M19" s="4">
        <v>3</v>
      </c>
      <c r="N19" s="4">
        <v>2</v>
      </c>
      <c r="O19" s="4" t="s">
        <v>122</v>
      </c>
      <c r="P19" s="4">
        <v>10</v>
      </c>
      <c r="Q19" s="4">
        <v>4402301</v>
      </c>
      <c r="U19" s="4">
        <v>0</v>
      </c>
      <c r="V19" s="4">
        <v>20000</v>
      </c>
      <c r="W19" s="4">
        <f t="shared" si="0"/>
        <v>820</v>
      </c>
      <c r="X19" s="4">
        <v>920</v>
      </c>
      <c r="Y19" s="4">
        <v>920</v>
      </c>
      <c r="Z19" s="4">
        <f t="shared" si="1"/>
        <v>970</v>
      </c>
      <c r="AA19" s="4">
        <v>12000</v>
      </c>
      <c r="AC19" s="4">
        <v>1</v>
      </c>
      <c r="AD19" s="4">
        <v>1</v>
      </c>
      <c r="AE19" s="4" t="s">
        <v>127</v>
      </c>
      <c r="AF19" s="41"/>
      <c r="AH19" s="6">
        <v>1</v>
      </c>
      <c r="AI19" s="6" t="s">
        <v>124</v>
      </c>
      <c r="AJ19" s="4">
        <v>0</v>
      </c>
      <c r="AK19" s="4">
        <v>0</v>
      </c>
    </row>
    <row r="20" s="3" customFormat="1" spans="1:37">
      <c r="A20" s="3">
        <v>4403101</v>
      </c>
      <c r="B20" s="3">
        <v>4403101</v>
      </c>
      <c r="C20" s="3" t="s">
        <v>87</v>
      </c>
      <c r="D20" s="3" t="s">
        <v>128</v>
      </c>
      <c r="F20" s="3">
        <v>1</v>
      </c>
      <c r="G20" s="3">
        <v>1</v>
      </c>
      <c r="I20" s="3">
        <v>1</v>
      </c>
      <c r="K20" s="3">
        <v>3</v>
      </c>
      <c r="L20" s="3">
        <v>65</v>
      </c>
      <c r="M20" s="3">
        <v>1</v>
      </c>
      <c r="N20" s="3">
        <v>1</v>
      </c>
      <c r="O20" s="3">
        <v>0</v>
      </c>
      <c r="P20" s="3">
        <v>1</v>
      </c>
      <c r="Q20" s="3">
        <v>4403101</v>
      </c>
      <c r="U20" s="3">
        <v>0</v>
      </c>
      <c r="V20" s="3">
        <v>10000</v>
      </c>
      <c r="W20" s="3">
        <f t="shared" si="0"/>
        <v>180</v>
      </c>
      <c r="X20" s="3">
        <v>280</v>
      </c>
      <c r="Y20" s="3">
        <v>560</v>
      </c>
      <c r="Z20" s="3">
        <f t="shared" si="1"/>
        <v>610</v>
      </c>
      <c r="AA20" s="3">
        <f>1000-Z20</f>
        <v>390</v>
      </c>
      <c r="AC20" s="3">
        <v>1</v>
      </c>
      <c r="AD20" s="3">
        <v>0</v>
      </c>
      <c r="AF20" s="41"/>
      <c r="AH20" s="3">
        <v>0</v>
      </c>
      <c r="AI20" s="3">
        <v>0</v>
      </c>
      <c r="AJ20" s="3">
        <v>0</v>
      </c>
      <c r="AK20" s="3">
        <v>0</v>
      </c>
    </row>
    <row r="21" s="4" customFormat="1" spans="1:37">
      <c r="A21" s="4">
        <v>4403201</v>
      </c>
      <c r="B21" s="4">
        <v>4403201</v>
      </c>
      <c r="C21" s="4" t="s">
        <v>129</v>
      </c>
      <c r="D21" s="4" t="s">
        <v>130</v>
      </c>
      <c r="E21" s="27">
        <v>4403201</v>
      </c>
      <c r="F21" s="4">
        <v>2</v>
      </c>
      <c r="G21" s="4">
        <v>1</v>
      </c>
      <c r="H21" s="4" t="s">
        <v>131</v>
      </c>
      <c r="I21" s="4">
        <v>2</v>
      </c>
      <c r="K21" s="4">
        <v>3</v>
      </c>
      <c r="L21" s="4">
        <v>100</v>
      </c>
      <c r="M21" s="4">
        <v>2</v>
      </c>
      <c r="N21" s="4">
        <v>1</v>
      </c>
      <c r="O21" s="4" t="s">
        <v>132</v>
      </c>
      <c r="P21" s="4">
        <v>5</v>
      </c>
      <c r="Q21" s="4">
        <v>4403201</v>
      </c>
      <c r="U21" s="4">
        <v>0</v>
      </c>
      <c r="V21" s="4">
        <v>10000</v>
      </c>
      <c r="W21" s="4">
        <f t="shared" si="0"/>
        <v>440</v>
      </c>
      <c r="X21" s="4">
        <v>540</v>
      </c>
      <c r="Y21" s="4">
        <v>790</v>
      </c>
      <c r="Z21" s="4">
        <f t="shared" si="1"/>
        <v>840</v>
      </c>
      <c r="AA21" s="4">
        <v>-1</v>
      </c>
      <c r="AB21" s="4" t="s">
        <v>133</v>
      </c>
      <c r="AC21" s="4">
        <v>1</v>
      </c>
      <c r="AD21" s="3">
        <v>0</v>
      </c>
      <c r="AF21" s="41"/>
      <c r="AH21" s="6">
        <v>4</v>
      </c>
      <c r="AI21" s="6" t="s">
        <v>134</v>
      </c>
      <c r="AJ21" s="4">
        <v>0</v>
      </c>
      <c r="AK21" s="27">
        <v>0</v>
      </c>
    </row>
    <row r="22" s="4" customFormat="1" spans="1:37">
      <c r="A22" s="4">
        <v>4403202</v>
      </c>
      <c r="B22" s="4">
        <v>4403201</v>
      </c>
      <c r="C22" s="4" t="s">
        <v>129</v>
      </c>
      <c r="D22" s="4" t="s">
        <v>130</v>
      </c>
      <c r="E22" s="27">
        <v>4403201</v>
      </c>
      <c r="F22" s="4">
        <v>2</v>
      </c>
      <c r="G22" s="4">
        <v>2</v>
      </c>
      <c r="H22" s="4" t="s">
        <v>135</v>
      </c>
      <c r="I22" s="4">
        <v>2</v>
      </c>
      <c r="K22" s="4">
        <v>3</v>
      </c>
      <c r="L22" s="4">
        <v>100</v>
      </c>
      <c r="M22" s="4">
        <v>2</v>
      </c>
      <c r="N22" s="4">
        <v>1</v>
      </c>
      <c r="O22" s="4" t="s">
        <v>132</v>
      </c>
      <c r="P22" s="4">
        <v>5</v>
      </c>
      <c r="Q22" s="4">
        <v>4403201</v>
      </c>
      <c r="U22" s="4">
        <v>0</v>
      </c>
      <c r="V22" s="4">
        <v>10000</v>
      </c>
      <c r="W22" s="4">
        <f t="shared" si="0"/>
        <v>440</v>
      </c>
      <c r="X22" s="4">
        <v>540</v>
      </c>
      <c r="Y22" s="4">
        <v>790</v>
      </c>
      <c r="Z22" s="4">
        <f t="shared" si="1"/>
        <v>840</v>
      </c>
      <c r="AA22" s="4">
        <v>-1</v>
      </c>
      <c r="AB22" s="4" t="s">
        <v>133</v>
      </c>
      <c r="AC22" s="4">
        <v>1</v>
      </c>
      <c r="AD22" s="3">
        <v>0</v>
      </c>
      <c r="AF22" s="41" t="s">
        <v>136</v>
      </c>
      <c r="AG22" s="4" t="s">
        <v>137</v>
      </c>
      <c r="AH22" s="6">
        <v>4</v>
      </c>
      <c r="AI22" s="6" t="s">
        <v>134</v>
      </c>
      <c r="AJ22" s="4">
        <v>0</v>
      </c>
      <c r="AK22" s="4">
        <v>0</v>
      </c>
    </row>
    <row r="23" s="4" customFormat="1" spans="1:37">
      <c r="A23" s="4">
        <v>4403203</v>
      </c>
      <c r="B23" s="4">
        <v>4403201</v>
      </c>
      <c r="C23" s="4" t="s">
        <v>129</v>
      </c>
      <c r="D23" s="4" t="s">
        <v>130</v>
      </c>
      <c r="E23" s="27">
        <v>4403201</v>
      </c>
      <c r="F23" s="4">
        <v>2</v>
      </c>
      <c r="G23" s="4">
        <v>3</v>
      </c>
      <c r="H23" s="4" t="s">
        <v>138</v>
      </c>
      <c r="I23" s="4">
        <v>2</v>
      </c>
      <c r="K23" s="4">
        <v>3</v>
      </c>
      <c r="L23" s="4">
        <v>100</v>
      </c>
      <c r="M23" s="4">
        <v>2</v>
      </c>
      <c r="N23" s="4">
        <v>1</v>
      </c>
      <c r="O23" s="4" t="s">
        <v>132</v>
      </c>
      <c r="P23" s="4">
        <v>5</v>
      </c>
      <c r="Q23" s="4">
        <v>4403201</v>
      </c>
      <c r="U23" s="4">
        <v>0</v>
      </c>
      <c r="V23" s="4">
        <v>15000</v>
      </c>
      <c r="W23" s="4">
        <f t="shared" si="0"/>
        <v>440</v>
      </c>
      <c r="X23" s="4">
        <v>540</v>
      </c>
      <c r="Y23" s="4">
        <v>790</v>
      </c>
      <c r="Z23" s="4">
        <f t="shared" si="1"/>
        <v>840</v>
      </c>
      <c r="AA23" s="4">
        <v>-1</v>
      </c>
      <c r="AB23" s="4" t="s">
        <v>133</v>
      </c>
      <c r="AC23" s="4">
        <v>1</v>
      </c>
      <c r="AD23" s="3">
        <v>0</v>
      </c>
      <c r="AF23" s="41" t="s">
        <v>136</v>
      </c>
      <c r="AG23" s="4" t="s">
        <v>139</v>
      </c>
      <c r="AH23" s="6">
        <v>4</v>
      </c>
      <c r="AI23" s="6" t="s">
        <v>134</v>
      </c>
      <c r="AJ23" s="4">
        <v>0</v>
      </c>
      <c r="AK23" s="27">
        <v>0</v>
      </c>
    </row>
    <row r="24" s="4" customFormat="1" spans="1:37">
      <c r="A24" s="4">
        <v>4403301</v>
      </c>
      <c r="B24" s="4">
        <v>4403301</v>
      </c>
      <c r="C24" s="4" t="s">
        <v>140</v>
      </c>
      <c r="D24" s="4" t="s">
        <v>141</v>
      </c>
      <c r="E24" s="27">
        <v>4403301</v>
      </c>
      <c r="F24" s="4">
        <v>2</v>
      </c>
      <c r="G24" s="4">
        <v>1</v>
      </c>
      <c r="H24" s="4" t="s">
        <v>142</v>
      </c>
      <c r="I24" s="4">
        <v>2</v>
      </c>
      <c r="K24" s="4">
        <v>3</v>
      </c>
      <c r="L24" s="4">
        <v>100</v>
      </c>
      <c r="M24" s="4">
        <v>3</v>
      </c>
      <c r="N24" s="4">
        <v>3</v>
      </c>
      <c r="O24" s="4" t="s">
        <v>143</v>
      </c>
      <c r="P24" s="4">
        <v>10</v>
      </c>
      <c r="Q24" s="4">
        <v>4403301</v>
      </c>
      <c r="U24" s="4">
        <v>0</v>
      </c>
      <c r="V24" s="35">
        <v>20000</v>
      </c>
      <c r="W24" s="4">
        <f t="shared" si="0"/>
        <v>320</v>
      </c>
      <c r="X24" s="4">
        <v>420</v>
      </c>
      <c r="Y24" s="4">
        <v>830</v>
      </c>
      <c r="Z24" s="4">
        <f t="shared" si="1"/>
        <v>880</v>
      </c>
      <c r="AA24" s="4">
        <v>20000</v>
      </c>
      <c r="AC24" s="4">
        <v>1</v>
      </c>
      <c r="AD24" s="4">
        <v>1</v>
      </c>
      <c r="AE24" s="4" t="s">
        <v>144</v>
      </c>
      <c r="AF24" s="41"/>
      <c r="AH24" s="6">
        <v>0</v>
      </c>
      <c r="AI24" s="6">
        <v>0</v>
      </c>
      <c r="AJ24" s="4">
        <v>0</v>
      </c>
      <c r="AK24" s="27">
        <v>0</v>
      </c>
    </row>
    <row r="25" s="4" customFormat="1" spans="1:37">
      <c r="A25" s="4">
        <v>4403302</v>
      </c>
      <c r="B25" s="4">
        <v>4403301</v>
      </c>
      <c r="C25" s="4" t="s">
        <v>140</v>
      </c>
      <c r="D25" s="4" t="s">
        <v>141</v>
      </c>
      <c r="E25" s="27">
        <v>4403301</v>
      </c>
      <c r="F25" s="4">
        <v>2</v>
      </c>
      <c r="G25" s="4">
        <v>2</v>
      </c>
      <c r="H25" s="4" t="s">
        <v>138</v>
      </c>
      <c r="I25" s="4">
        <v>2</v>
      </c>
      <c r="K25" s="4">
        <v>3</v>
      </c>
      <c r="L25" s="4">
        <v>100</v>
      </c>
      <c r="M25" s="4">
        <v>3</v>
      </c>
      <c r="N25" s="4">
        <v>3</v>
      </c>
      <c r="O25" s="4" t="s">
        <v>143</v>
      </c>
      <c r="P25" s="4">
        <v>10</v>
      </c>
      <c r="Q25" s="4">
        <v>4403301</v>
      </c>
      <c r="U25" s="4">
        <v>0</v>
      </c>
      <c r="V25" s="35">
        <v>30000</v>
      </c>
      <c r="W25" s="4">
        <f t="shared" si="0"/>
        <v>320</v>
      </c>
      <c r="X25" s="4">
        <v>420</v>
      </c>
      <c r="Y25" s="4">
        <v>830</v>
      </c>
      <c r="Z25" s="4">
        <f t="shared" si="1"/>
        <v>880</v>
      </c>
      <c r="AA25" s="4">
        <v>20000</v>
      </c>
      <c r="AC25" s="4">
        <v>1</v>
      </c>
      <c r="AD25" s="4">
        <v>1</v>
      </c>
      <c r="AE25" s="4" t="s">
        <v>144</v>
      </c>
      <c r="AF25" s="41"/>
      <c r="AH25" s="6">
        <v>0</v>
      </c>
      <c r="AI25" s="6">
        <v>0</v>
      </c>
      <c r="AJ25" s="4">
        <v>0</v>
      </c>
      <c r="AK25" s="27">
        <v>0</v>
      </c>
    </row>
    <row r="26" s="4" customFormat="1" spans="1:37">
      <c r="A26" s="4">
        <v>4403303</v>
      </c>
      <c r="B26" s="4">
        <v>4403301</v>
      </c>
      <c r="C26" s="4" t="s">
        <v>140</v>
      </c>
      <c r="D26" s="4" t="s">
        <v>141</v>
      </c>
      <c r="E26" s="27">
        <v>4403301</v>
      </c>
      <c r="F26" s="4">
        <v>2</v>
      </c>
      <c r="G26" s="4">
        <v>3</v>
      </c>
      <c r="H26" s="4" t="s">
        <v>138</v>
      </c>
      <c r="I26" s="4">
        <v>2</v>
      </c>
      <c r="K26" s="4">
        <v>3</v>
      </c>
      <c r="L26" s="4">
        <v>100</v>
      </c>
      <c r="M26" s="4">
        <v>3</v>
      </c>
      <c r="N26" s="4">
        <v>3</v>
      </c>
      <c r="O26" s="4" t="s">
        <v>143</v>
      </c>
      <c r="P26" s="4">
        <v>10</v>
      </c>
      <c r="Q26" s="4">
        <v>4403301</v>
      </c>
      <c r="U26" s="4">
        <v>0</v>
      </c>
      <c r="V26" s="35">
        <v>40000</v>
      </c>
      <c r="W26" s="4">
        <f t="shared" si="0"/>
        <v>320</v>
      </c>
      <c r="X26" s="4">
        <v>420</v>
      </c>
      <c r="Y26" s="4">
        <v>830</v>
      </c>
      <c r="Z26" s="4">
        <f t="shared" si="1"/>
        <v>880</v>
      </c>
      <c r="AA26" s="4">
        <v>20000</v>
      </c>
      <c r="AC26" s="4">
        <v>1</v>
      </c>
      <c r="AD26" s="4">
        <v>1</v>
      </c>
      <c r="AE26" s="4" t="s">
        <v>144</v>
      </c>
      <c r="AF26" s="41"/>
      <c r="AH26" s="6">
        <v>0</v>
      </c>
      <c r="AI26" s="6">
        <v>0</v>
      </c>
      <c r="AJ26" s="4">
        <v>0</v>
      </c>
      <c r="AK26" s="27">
        <v>0</v>
      </c>
    </row>
    <row r="27" s="3" customFormat="1" spans="1:37">
      <c r="A27" s="3">
        <v>4404101</v>
      </c>
      <c r="B27" s="3">
        <v>4404101</v>
      </c>
      <c r="C27" s="3" t="s">
        <v>87</v>
      </c>
      <c r="D27" s="3" t="s">
        <v>145</v>
      </c>
      <c r="F27" s="3">
        <v>1</v>
      </c>
      <c r="G27" s="3">
        <v>1</v>
      </c>
      <c r="I27" s="3">
        <v>1</v>
      </c>
      <c r="K27" s="3">
        <v>3</v>
      </c>
      <c r="L27" s="3">
        <v>65</v>
      </c>
      <c r="M27" s="3">
        <v>1</v>
      </c>
      <c r="N27" s="3">
        <v>1</v>
      </c>
      <c r="O27" s="3">
        <v>0</v>
      </c>
      <c r="P27" s="3">
        <v>1</v>
      </c>
      <c r="Q27" s="3">
        <v>4404101</v>
      </c>
      <c r="U27" s="3">
        <v>0</v>
      </c>
      <c r="V27" s="3">
        <v>10000</v>
      </c>
      <c r="W27" s="3">
        <f t="shared" si="0"/>
        <v>80</v>
      </c>
      <c r="X27" s="3">
        <v>180</v>
      </c>
      <c r="Y27" s="3">
        <v>360</v>
      </c>
      <c r="Z27" s="3">
        <f t="shared" si="1"/>
        <v>410</v>
      </c>
      <c r="AA27" s="3">
        <f t="shared" ref="AA27:AA29" si="2">1000-Z27</f>
        <v>590</v>
      </c>
      <c r="AC27" s="3">
        <v>1</v>
      </c>
      <c r="AD27" s="3">
        <v>0</v>
      </c>
      <c r="AF27" s="41"/>
      <c r="AH27" s="3">
        <v>0</v>
      </c>
      <c r="AI27" s="3">
        <v>0</v>
      </c>
      <c r="AJ27" s="3">
        <v>0</v>
      </c>
      <c r="AK27" s="9">
        <v>0</v>
      </c>
    </row>
    <row r="28" s="3" customFormat="1" spans="1:37">
      <c r="A28" s="3">
        <v>4404102</v>
      </c>
      <c r="B28" s="3">
        <v>4404101</v>
      </c>
      <c r="C28" s="3" t="s">
        <v>87</v>
      </c>
      <c r="D28" s="3" t="s">
        <v>145</v>
      </c>
      <c r="F28" s="3">
        <v>1</v>
      </c>
      <c r="G28" s="3">
        <v>2</v>
      </c>
      <c r="I28" s="3">
        <v>1</v>
      </c>
      <c r="K28" s="3">
        <v>3</v>
      </c>
      <c r="L28" s="3">
        <v>100</v>
      </c>
      <c r="M28" s="3">
        <v>1</v>
      </c>
      <c r="N28" s="3">
        <v>2</v>
      </c>
      <c r="O28" s="3" t="s">
        <v>146</v>
      </c>
      <c r="P28" s="3">
        <v>1</v>
      </c>
      <c r="Q28" s="3">
        <v>4404101</v>
      </c>
      <c r="U28" s="3">
        <v>0</v>
      </c>
      <c r="V28" s="3">
        <v>10000</v>
      </c>
      <c r="W28" s="3">
        <f t="shared" si="0"/>
        <v>80</v>
      </c>
      <c r="X28" s="3">
        <v>180</v>
      </c>
      <c r="Y28" s="3">
        <v>360</v>
      </c>
      <c r="Z28" s="3">
        <f t="shared" si="1"/>
        <v>410</v>
      </c>
      <c r="AA28" s="3">
        <f t="shared" si="2"/>
        <v>590</v>
      </c>
      <c r="AC28" s="3">
        <v>1</v>
      </c>
      <c r="AD28" s="3">
        <v>0</v>
      </c>
      <c r="AF28" s="41" t="s">
        <v>136</v>
      </c>
      <c r="AG28" s="3" t="s">
        <v>147</v>
      </c>
      <c r="AH28" s="3">
        <v>0</v>
      </c>
      <c r="AI28" s="3">
        <v>0</v>
      </c>
      <c r="AJ28" s="3">
        <v>0</v>
      </c>
      <c r="AK28" s="9">
        <v>0</v>
      </c>
    </row>
    <row r="29" s="3" customFormat="1" spans="1:37">
      <c r="A29" s="3">
        <v>4404103</v>
      </c>
      <c r="B29" s="3">
        <v>4404101</v>
      </c>
      <c r="C29" s="3" t="s">
        <v>87</v>
      </c>
      <c r="D29" s="3" t="s">
        <v>145</v>
      </c>
      <c r="F29" s="3">
        <v>1</v>
      </c>
      <c r="G29" s="3">
        <v>3</v>
      </c>
      <c r="I29" s="3">
        <v>1</v>
      </c>
      <c r="K29" s="3">
        <v>3</v>
      </c>
      <c r="L29" s="3">
        <v>100</v>
      </c>
      <c r="M29" s="3">
        <v>1</v>
      </c>
      <c r="N29" s="3">
        <v>2</v>
      </c>
      <c r="O29" s="3" t="s">
        <v>146</v>
      </c>
      <c r="P29" s="3">
        <v>1</v>
      </c>
      <c r="Q29" s="3">
        <v>4404101</v>
      </c>
      <c r="U29" s="3">
        <v>0</v>
      </c>
      <c r="V29" s="3">
        <v>10000</v>
      </c>
      <c r="W29" s="3">
        <f t="shared" si="0"/>
        <v>80</v>
      </c>
      <c r="X29" s="3">
        <v>180</v>
      </c>
      <c r="Y29" s="3">
        <v>360</v>
      </c>
      <c r="Z29" s="3">
        <f t="shared" si="1"/>
        <v>410</v>
      </c>
      <c r="AA29" s="3">
        <f t="shared" si="2"/>
        <v>590</v>
      </c>
      <c r="AC29" s="3">
        <v>1</v>
      </c>
      <c r="AD29" s="3">
        <v>0</v>
      </c>
      <c r="AF29" s="41" t="s">
        <v>136</v>
      </c>
      <c r="AG29" s="3" t="s">
        <v>148</v>
      </c>
      <c r="AH29" s="3">
        <v>0</v>
      </c>
      <c r="AI29" s="3">
        <v>0</v>
      </c>
      <c r="AJ29" s="3">
        <v>0</v>
      </c>
      <c r="AK29" s="9">
        <v>0</v>
      </c>
    </row>
    <row r="30" s="4" customFormat="1" spans="1:37">
      <c r="A30" s="4">
        <v>4404201</v>
      </c>
      <c r="B30" s="4">
        <v>4404201</v>
      </c>
      <c r="C30" s="4" t="s">
        <v>149</v>
      </c>
      <c r="D30" s="4" t="s">
        <v>150</v>
      </c>
      <c r="E30" s="27">
        <v>4404201</v>
      </c>
      <c r="F30" s="4">
        <v>2</v>
      </c>
      <c r="G30" s="4">
        <v>1</v>
      </c>
      <c r="H30" s="4" t="s">
        <v>151</v>
      </c>
      <c r="I30" s="4">
        <v>2</v>
      </c>
      <c r="K30" s="4">
        <v>3</v>
      </c>
      <c r="L30" s="4">
        <v>100</v>
      </c>
      <c r="M30" s="4">
        <v>2</v>
      </c>
      <c r="N30" s="4">
        <v>1</v>
      </c>
      <c r="O30" s="4" t="s">
        <v>146</v>
      </c>
      <c r="P30" s="4">
        <v>6</v>
      </c>
      <c r="Q30" s="4">
        <v>4404201</v>
      </c>
      <c r="U30" s="4">
        <v>0</v>
      </c>
      <c r="V30" s="4">
        <v>10000</v>
      </c>
      <c r="W30" s="4">
        <f t="shared" si="0"/>
        <v>150</v>
      </c>
      <c r="X30" s="4">
        <v>250</v>
      </c>
      <c r="Y30" s="4">
        <v>500</v>
      </c>
      <c r="Z30" s="4">
        <f t="shared" si="1"/>
        <v>550</v>
      </c>
      <c r="AA30" s="4">
        <v>-1</v>
      </c>
      <c r="AB30" s="4" t="s">
        <v>111</v>
      </c>
      <c r="AC30" s="4">
        <v>1</v>
      </c>
      <c r="AD30" s="4">
        <v>1</v>
      </c>
      <c r="AE30" s="4" t="s">
        <v>144</v>
      </c>
      <c r="AF30" s="41"/>
      <c r="AH30" s="6">
        <v>0</v>
      </c>
      <c r="AI30" s="6">
        <v>0</v>
      </c>
      <c r="AJ30" s="4">
        <v>0</v>
      </c>
      <c r="AK30" s="4">
        <v>0</v>
      </c>
    </row>
    <row r="31" s="4" customFormat="1" spans="1:37">
      <c r="A31" s="4">
        <v>4404202</v>
      </c>
      <c r="B31" s="4">
        <v>4404201</v>
      </c>
      <c r="C31" s="4" t="s">
        <v>149</v>
      </c>
      <c r="D31" s="4" t="s">
        <v>150</v>
      </c>
      <c r="E31" s="27">
        <v>4404201</v>
      </c>
      <c r="F31" s="4">
        <v>2</v>
      </c>
      <c r="G31" s="4">
        <v>2</v>
      </c>
      <c r="H31" s="28" t="s">
        <v>152</v>
      </c>
      <c r="I31" s="4">
        <v>2</v>
      </c>
      <c r="K31" s="4">
        <v>3</v>
      </c>
      <c r="L31" s="4">
        <v>100</v>
      </c>
      <c r="M31" s="4">
        <v>2</v>
      </c>
      <c r="N31" s="4">
        <v>1</v>
      </c>
      <c r="O31" s="4" t="s">
        <v>146</v>
      </c>
      <c r="P31" s="4">
        <v>6</v>
      </c>
      <c r="Q31" s="4">
        <v>4404201</v>
      </c>
      <c r="U31" s="4">
        <v>0</v>
      </c>
      <c r="V31" s="4">
        <v>10000</v>
      </c>
      <c r="W31" s="4">
        <f t="shared" si="0"/>
        <v>150</v>
      </c>
      <c r="X31" s="4">
        <v>250</v>
      </c>
      <c r="Y31" s="4">
        <v>500</v>
      </c>
      <c r="Z31" s="4">
        <f t="shared" si="1"/>
        <v>550</v>
      </c>
      <c r="AA31" s="4">
        <v>-1</v>
      </c>
      <c r="AB31" s="4" t="s">
        <v>111</v>
      </c>
      <c r="AC31" s="4">
        <v>1</v>
      </c>
      <c r="AD31" s="4">
        <v>1</v>
      </c>
      <c r="AE31" s="4" t="s">
        <v>144</v>
      </c>
      <c r="AF31" s="41"/>
      <c r="AH31" s="6">
        <v>0</v>
      </c>
      <c r="AI31" s="6">
        <v>0</v>
      </c>
      <c r="AJ31" s="4">
        <v>0</v>
      </c>
      <c r="AK31" s="27">
        <v>0</v>
      </c>
    </row>
    <row r="32" s="4" customFormat="1" spans="1:37">
      <c r="A32" s="4">
        <v>4404203</v>
      </c>
      <c r="B32" s="4">
        <v>4404201</v>
      </c>
      <c r="C32" s="4" t="s">
        <v>149</v>
      </c>
      <c r="D32" s="4" t="s">
        <v>150</v>
      </c>
      <c r="E32" s="27">
        <v>4404201</v>
      </c>
      <c r="F32" s="4">
        <v>2</v>
      </c>
      <c r="G32" s="4">
        <v>3</v>
      </c>
      <c r="H32" s="28" t="s">
        <v>153</v>
      </c>
      <c r="I32" s="4">
        <v>2</v>
      </c>
      <c r="K32" s="4">
        <v>3</v>
      </c>
      <c r="L32" s="4">
        <v>100</v>
      </c>
      <c r="M32" s="4">
        <v>2</v>
      </c>
      <c r="N32" s="4">
        <v>1</v>
      </c>
      <c r="O32" s="4" t="s">
        <v>146</v>
      </c>
      <c r="P32" s="4">
        <v>6</v>
      </c>
      <c r="Q32" s="4">
        <v>4404201</v>
      </c>
      <c r="U32" s="4">
        <v>0</v>
      </c>
      <c r="V32" s="4">
        <v>10000</v>
      </c>
      <c r="W32" s="4">
        <f t="shared" si="0"/>
        <v>150</v>
      </c>
      <c r="X32" s="4">
        <v>250</v>
      </c>
      <c r="Y32" s="4">
        <v>500</v>
      </c>
      <c r="Z32" s="4">
        <f t="shared" si="1"/>
        <v>550</v>
      </c>
      <c r="AA32" s="4">
        <v>-1</v>
      </c>
      <c r="AB32" s="4" t="s">
        <v>111</v>
      </c>
      <c r="AC32" s="4">
        <v>1</v>
      </c>
      <c r="AD32" s="4">
        <v>1</v>
      </c>
      <c r="AE32" s="4" t="s">
        <v>144</v>
      </c>
      <c r="AF32" s="41"/>
      <c r="AH32" s="6">
        <v>0</v>
      </c>
      <c r="AI32" s="6">
        <v>0</v>
      </c>
      <c r="AJ32" s="4">
        <v>0</v>
      </c>
      <c r="AK32" s="4">
        <v>0</v>
      </c>
    </row>
    <row r="33" s="4" customFormat="1" spans="1:37">
      <c r="A33" s="4">
        <v>4404301</v>
      </c>
      <c r="B33" s="4">
        <v>4404301</v>
      </c>
      <c r="C33" s="4" t="s">
        <v>154</v>
      </c>
      <c r="D33" s="4" t="s">
        <v>155</v>
      </c>
      <c r="E33" s="27">
        <v>4404301</v>
      </c>
      <c r="F33" s="4">
        <v>2</v>
      </c>
      <c r="G33" s="4">
        <v>1</v>
      </c>
      <c r="H33" s="4" t="s">
        <v>156</v>
      </c>
      <c r="I33" s="4">
        <v>2</v>
      </c>
      <c r="K33" s="4">
        <v>3</v>
      </c>
      <c r="L33" s="4">
        <v>100</v>
      </c>
      <c r="M33" s="4">
        <v>3</v>
      </c>
      <c r="N33" s="4">
        <v>2</v>
      </c>
      <c r="O33" s="4" t="s">
        <v>157</v>
      </c>
      <c r="P33" s="4">
        <v>10</v>
      </c>
      <c r="Q33" s="4">
        <v>4404301</v>
      </c>
      <c r="U33" s="4">
        <v>0</v>
      </c>
      <c r="V33" s="4">
        <v>20000</v>
      </c>
      <c r="W33" s="4">
        <f t="shared" si="0"/>
        <v>1360</v>
      </c>
      <c r="X33" s="4">
        <v>1460</v>
      </c>
      <c r="Y33" s="4">
        <v>2790</v>
      </c>
      <c r="Z33" s="4">
        <f t="shared" si="1"/>
        <v>2840</v>
      </c>
      <c r="AA33" s="4">
        <v>18000</v>
      </c>
      <c r="AC33" s="4">
        <v>1</v>
      </c>
      <c r="AD33" s="3">
        <v>0</v>
      </c>
      <c r="AF33" s="41"/>
      <c r="AH33" s="6">
        <v>0</v>
      </c>
      <c r="AI33" s="6">
        <v>0</v>
      </c>
      <c r="AJ33" s="4">
        <v>0</v>
      </c>
      <c r="AK33" s="27">
        <v>0</v>
      </c>
    </row>
    <row r="34" s="4" customFormat="1" spans="1:37">
      <c r="A34" s="4">
        <v>4404302</v>
      </c>
      <c r="B34" s="4">
        <v>4404301</v>
      </c>
      <c r="C34" s="4" t="s">
        <v>154</v>
      </c>
      <c r="D34" s="4" t="s">
        <v>155</v>
      </c>
      <c r="E34" s="27">
        <v>4404301</v>
      </c>
      <c r="F34" s="4">
        <v>2</v>
      </c>
      <c r="G34" s="4">
        <v>2</v>
      </c>
      <c r="H34" s="4" t="s">
        <v>158</v>
      </c>
      <c r="I34" s="4">
        <v>2</v>
      </c>
      <c r="K34" s="4">
        <v>3</v>
      </c>
      <c r="L34" s="4">
        <v>100</v>
      </c>
      <c r="M34" s="4">
        <v>3</v>
      </c>
      <c r="N34" s="4">
        <v>2</v>
      </c>
      <c r="O34" s="4" t="s">
        <v>157</v>
      </c>
      <c r="P34" s="4">
        <v>10</v>
      </c>
      <c r="Q34" s="4">
        <v>4404301</v>
      </c>
      <c r="U34" s="4">
        <v>0</v>
      </c>
      <c r="V34" s="4">
        <v>20000</v>
      </c>
      <c r="W34" s="4">
        <f t="shared" si="0"/>
        <v>1360</v>
      </c>
      <c r="X34" s="4">
        <v>1460</v>
      </c>
      <c r="Y34" s="4">
        <v>2790</v>
      </c>
      <c r="Z34" s="4">
        <f t="shared" si="1"/>
        <v>2840</v>
      </c>
      <c r="AA34" s="4">
        <v>18000</v>
      </c>
      <c r="AC34" s="4">
        <v>1</v>
      </c>
      <c r="AD34" s="4">
        <v>1</v>
      </c>
      <c r="AE34" s="4" t="s">
        <v>159</v>
      </c>
      <c r="AF34" s="41"/>
      <c r="AH34" s="6">
        <v>0</v>
      </c>
      <c r="AI34" s="6">
        <v>0</v>
      </c>
      <c r="AJ34" s="4">
        <v>0</v>
      </c>
      <c r="AK34" s="4">
        <v>0</v>
      </c>
    </row>
    <row r="35" s="4" customFormat="1" spans="1:37">
      <c r="A35" s="4">
        <v>4404303</v>
      </c>
      <c r="B35" s="4">
        <v>4404301</v>
      </c>
      <c r="C35" s="4" t="s">
        <v>154</v>
      </c>
      <c r="D35" s="4" t="s">
        <v>155</v>
      </c>
      <c r="E35" s="27">
        <v>4404301</v>
      </c>
      <c r="F35" s="4">
        <v>2</v>
      </c>
      <c r="G35" s="4">
        <v>3</v>
      </c>
      <c r="H35" s="4" t="s">
        <v>125</v>
      </c>
      <c r="I35" s="4">
        <v>2</v>
      </c>
      <c r="K35" s="4">
        <v>3</v>
      </c>
      <c r="L35" s="4">
        <v>100</v>
      </c>
      <c r="M35" s="4">
        <v>3</v>
      </c>
      <c r="N35" s="4">
        <v>2</v>
      </c>
      <c r="O35" s="4" t="s">
        <v>157</v>
      </c>
      <c r="P35" s="4">
        <v>10</v>
      </c>
      <c r="Q35" s="4">
        <v>4404301</v>
      </c>
      <c r="U35" s="4">
        <v>0</v>
      </c>
      <c r="V35" s="4">
        <v>20000</v>
      </c>
      <c r="W35" s="4">
        <f t="shared" si="0"/>
        <v>1360</v>
      </c>
      <c r="X35" s="4">
        <v>1460</v>
      </c>
      <c r="Y35" s="4">
        <v>2790</v>
      </c>
      <c r="Z35" s="4">
        <f t="shared" si="1"/>
        <v>2840</v>
      </c>
      <c r="AA35" s="4">
        <v>13000</v>
      </c>
      <c r="AC35" s="4">
        <v>1</v>
      </c>
      <c r="AD35" s="4">
        <v>1</v>
      </c>
      <c r="AE35" s="4" t="s">
        <v>159</v>
      </c>
      <c r="AF35" s="41"/>
      <c r="AH35" s="6">
        <v>0</v>
      </c>
      <c r="AI35" s="6">
        <v>0</v>
      </c>
      <c r="AJ35" s="4">
        <v>0</v>
      </c>
      <c r="AK35" s="27">
        <v>0</v>
      </c>
    </row>
    <row r="36" s="3" customFormat="1" spans="1:37">
      <c r="A36" s="3">
        <v>4405101</v>
      </c>
      <c r="B36" s="3">
        <v>4405101</v>
      </c>
      <c r="C36" s="3" t="s">
        <v>87</v>
      </c>
      <c r="D36" s="3" t="s">
        <v>160</v>
      </c>
      <c r="F36" s="3">
        <v>1</v>
      </c>
      <c r="G36" s="3">
        <v>1</v>
      </c>
      <c r="I36" s="3">
        <v>7</v>
      </c>
      <c r="J36" s="3" t="s">
        <v>161</v>
      </c>
      <c r="K36" s="3">
        <v>3</v>
      </c>
      <c r="L36" s="3">
        <v>350</v>
      </c>
      <c r="M36" s="3">
        <v>1</v>
      </c>
      <c r="N36" s="3">
        <v>1</v>
      </c>
      <c r="O36" s="3">
        <v>0</v>
      </c>
      <c r="P36" s="3">
        <v>1</v>
      </c>
      <c r="Q36" s="3">
        <v>4411101</v>
      </c>
      <c r="U36" s="9">
        <v>0</v>
      </c>
      <c r="V36" s="3">
        <v>10000</v>
      </c>
      <c r="W36" s="3">
        <f t="shared" si="0"/>
        <v>380</v>
      </c>
      <c r="X36" s="3">
        <v>480</v>
      </c>
      <c r="Y36" s="3">
        <v>540</v>
      </c>
      <c r="Z36" s="3">
        <v>800</v>
      </c>
      <c r="AA36" s="3">
        <f>1000-Z36</f>
        <v>200</v>
      </c>
      <c r="AC36" s="3">
        <v>2</v>
      </c>
      <c r="AD36" s="3">
        <v>0</v>
      </c>
      <c r="AF36" s="41"/>
      <c r="AH36" s="3">
        <v>0</v>
      </c>
      <c r="AI36" s="3">
        <v>0</v>
      </c>
      <c r="AJ36" s="3">
        <v>0</v>
      </c>
      <c r="AK36" s="3">
        <v>0</v>
      </c>
    </row>
    <row r="37" s="4" customFormat="1" spans="1:37">
      <c r="A37" s="4">
        <v>4405201</v>
      </c>
      <c r="B37" s="4">
        <v>4405201</v>
      </c>
      <c r="C37" s="4" t="s">
        <v>162</v>
      </c>
      <c r="D37" s="4" t="s">
        <v>163</v>
      </c>
      <c r="E37" s="27">
        <v>4405201</v>
      </c>
      <c r="F37" s="4">
        <v>2</v>
      </c>
      <c r="G37" s="4">
        <v>1</v>
      </c>
      <c r="H37" s="4" t="s">
        <v>164</v>
      </c>
      <c r="I37" s="4">
        <v>7</v>
      </c>
      <c r="J37" s="4" t="s">
        <v>165</v>
      </c>
      <c r="K37" s="4">
        <v>3</v>
      </c>
      <c r="L37" s="4">
        <v>350</v>
      </c>
      <c r="M37" s="4">
        <v>2</v>
      </c>
      <c r="N37" s="4">
        <v>1</v>
      </c>
      <c r="O37" s="4">
        <v>0</v>
      </c>
      <c r="P37" s="4">
        <v>1</v>
      </c>
      <c r="Q37" s="4">
        <v>4405201</v>
      </c>
      <c r="U37" s="4">
        <v>0</v>
      </c>
      <c r="V37" s="4">
        <v>30000</v>
      </c>
      <c r="W37" s="4">
        <f t="shared" si="0"/>
        <v>730</v>
      </c>
      <c r="X37" s="4">
        <v>830</v>
      </c>
      <c r="Y37" s="4">
        <v>1080</v>
      </c>
      <c r="Z37" s="4">
        <f t="shared" si="1"/>
        <v>1130</v>
      </c>
      <c r="AA37" s="4">
        <v>-1</v>
      </c>
      <c r="AB37" s="4" t="s">
        <v>166</v>
      </c>
      <c r="AC37" s="4">
        <v>2</v>
      </c>
      <c r="AD37" s="3">
        <v>0</v>
      </c>
      <c r="AF37" s="41"/>
      <c r="AH37" s="6">
        <v>0</v>
      </c>
      <c r="AI37" s="6">
        <v>0</v>
      </c>
      <c r="AJ37" s="4">
        <v>0</v>
      </c>
      <c r="AK37" s="27">
        <v>0</v>
      </c>
    </row>
    <row r="38" s="4" customFormat="1" spans="1:37">
      <c r="A38" s="4">
        <v>4405202</v>
      </c>
      <c r="B38" s="4">
        <v>4405201</v>
      </c>
      <c r="C38" s="4" t="s">
        <v>162</v>
      </c>
      <c r="D38" s="4" t="s">
        <v>163</v>
      </c>
      <c r="E38" s="27">
        <v>4405201</v>
      </c>
      <c r="F38" s="4">
        <v>2</v>
      </c>
      <c r="G38" s="4">
        <v>2</v>
      </c>
      <c r="H38" s="4" t="s">
        <v>167</v>
      </c>
      <c r="I38" s="4">
        <v>7</v>
      </c>
      <c r="J38" s="4" t="s">
        <v>165</v>
      </c>
      <c r="K38" s="4">
        <v>3</v>
      </c>
      <c r="L38" s="4">
        <v>350</v>
      </c>
      <c r="M38" s="4">
        <v>2</v>
      </c>
      <c r="N38" s="4">
        <v>1</v>
      </c>
      <c r="O38" s="4">
        <v>0</v>
      </c>
      <c r="P38" s="4">
        <v>1</v>
      </c>
      <c r="Q38" s="4">
        <v>4405201</v>
      </c>
      <c r="U38" s="4">
        <v>0</v>
      </c>
      <c r="V38" s="4">
        <v>30000</v>
      </c>
      <c r="W38" s="4">
        <f t="shared" si="0"/>
        <v>730</v>
      </c>
      <c r="X38" s="4">
        <v>830</v>
      </c>
      <c r="Y38" s="4">
        <v>1080</v>
      </c>
      <c r="Z38" s="4">
        <f t="shared" si="1"/>
        <v>1130</v>
      </c>
      <c r="AA38" s="4">
        <v>-1</v>
      </c>
      <c r="AB38" s="4" t="s">
        <v>166</v>
      </c>
      <c r="AC38" s="4">
        <v>2</v>
      </c>
      <c r="AD38" s="3">
        <v>0</v>
      </c>
      <c r="AF38" s="41" t="s">
        <v>168</v>
      </c>
      <c r="AG38" s="4" t="s">
        <v>169</v>
      </c>
      <c r="AH38" s="6">
        <v>0</v>
      </c>
      <c r="AI38" s="6">
        <v>0</v>
      </c>
      <c r="AJ38" s="4">
        <v>0</v>
      </c>
      <c r="AK38" s="4">
        <v>0</v>
      </c>
    </row>
    <row r="39" s="4" customFormat="1" spans="1:37">
      <c r="A39" s="4">
        <v>4405203</v>
      </c>
      <c r="B39" s="4">
        <v>4405201</v>
      </c>
      <c r="C39" s="4" t="s">
        <v>162</v>
      </c>
      <c r="D39" s="4" t="s">
        <v>163</v>
      </c>
      <c r="E39" s="27">
        <v>4405201</v>
      </c>
      <c r="F39" s="4">
        <v>2</v>
      </c>
      <c r="G39" s="4">
        <v>3</v>
      </c>
      <c r="H39" s="4" t="s">
        <v>170</v>
      </c>
      <c r="I39" s="4">
        <v>7</v>
      </c>
      <c r="J39" s="4" t="s">
        <v>171</v>
      </c>
      <c r="K39" s="4">
        <v>3</v>
      </c>
      <c r="L39" s="4">
        <v>350</v>
      </c>
      <c r="M39" s="4">
        <v>2</v>
      </c>
      <c r="N39" s="4">
        <v>1</v>
      </c>
      <c r="O39" s="4">
        <v>0</v>
      </c>
      <c r="P39" s="4">
        <v>1</v>
      </c>
      <c r="Q39" s="4">
        <v>4405201</v>
      </c>
      <c r="U39" s="4">
        <v>0</v>
      </c>
      <c r="V39" s="4">
        <v>30000</v>
      </c>
      <c r="W39" s="4">
        <f t="shared" si="0"/>
        <v>730</v>
      </c>
      <c r="X39" s="4">
        <v>830</v>
      </c>
      <c r="Y39" s="4">
        <v>1080</v>
      </c>
      <c r="Z39" s="4">
        <f t="shared" si="1"/>
        <v>1130</v>
      </c>
      <c r="AA39" s="4">
        <v>-1</v>
      </c>
      <c r="AB39" s="4" t="s">
        <v>166</v>
      </c>
      <c r="AC39" s="4">
        <v>2</v>
      </c>
      <c r="AD39" s="4">
        <v>1</v>
      </c>
      <c r="AE39" s="4" t="s">
        <v>172</v>
      </c>
      <c r="AF39" s="41" t="s">
        <v>168</v>
      </c>
      <c r="AG39" s="4" t="s">
        <v>173</v>
      </c>
      <c r="AH39" s="6">
        <v>0</v>
      </c>
      <c r="AI39" s="6">
        <v>0</v>
      </c>
      <c r="AJ39" s="4">
        <v>0</v>
      </c>
      <c r="AK39" s="27">
        <v>0</v>
      </c>
    </row>
    <row r="40" s="4" customFormat="1" spans="1:37">
      <c r="A40" s="4">
        <v>4405301</v>
      </c>
      <c r="B40" s="4">
        <v>4405301</v>
      </c>
      <c r="C40" s="4" t="s">
        <v>174</v>
      </c>
      <c r="D40" s="4" t="s">
        <v>175</v>
      </c>
      <c r="E40" s="27">
        <v>4405301</v>
      </c>
      <c r="F40" s="4">
        <v>2</v>
      </c>
      <c r="G40" s="4">
        <v>1</v>
      </c>
      <c r="H40" s="4" t="s">
        <v>176</v>
      </c>
      <c r="I40" s="4">
        <v>4</v>
      </c>
      <c r="K40" s="4">
        <v>1</v>
      </c>
      <c r="L40" s="4">
        <v>350</v>
      </c>
      <c r="M40" s="4">
        <v>3</v>
      </c>
      <c r="N40" s="4">
        <v>2</v>
      </c>
      <c r="O40" s="4" t="s">
        <v>177</v>
      </c>
      <c r="P40" s="4">
        <v>1</v>
      </c>
      <c r="Q40" s="4">
        <v>4405301</v>
      </c>
      <c r="U40" s="4">
        <v>0</v>
      </c>
      <c r="V40" s="4">
        <v>5000</v>
      </c>
      <c r="W40" s="4">
        <f t="shared" si="0"/>
        <v>1400</v>
      </c>
      <c r="X40" s="4">
        <v>1500</v>
      </c>
      <c r="Y40" s="4">
        <v>2000</v>
      </c>
      <c r="Z40" s="4">
        <f t="shared" si="1"/>
        <v>2050</v>
      </c>
      <c r="AA40" s="4">
        <v>20000</v>
      </c>
      <c r="AC40" s="4">
        <v>2</v>
      </c>
      <c r="AD40" s="4">
        <v>1</v>
      </c>
      <c r="AE40" s="4" t="s">
        <v>178</v>
      </c>
      <c r="AF40" s="41"/>
      <c r="AH40" s="6">
        <v>0</v>
      </c>
      <c r="AI40" s="6">
        <v>0</v>
      </c>
      <c r="AJ40" s="4">
        <v>0</v>
      </c>
      <c r="AK40" s="4">
        <v>0</v>
      </c>
    </row>
    <row r="41" s="4" customFormat="1" spans="1:37">
      <c r="A41" s="4">
        <v>4405302</v>
      </c>
      <c r="B41" s="4">
        <v>4405301</v>
      </c>
      <c r="C41" s="4" t="s">
        <v>174</v>
      </c>
      <c r="D41" s="4" t="s">
        <v>175</v>
      </c>
      <c r="E41" s="27">
        <v>4405301</v>
      </c>
      <c r="F41" s="4">
        <v>2</v>
      </c>
      <c r="G41" s="4">
        <v>2</v>
      </c>
      <c r="H41" s="4" t="s">
        <v>170</v>
      </c>
      <c r="I41" s="4">
        <v>4</v>
      </c>
      <c r="K41" s="4">
        <v>1</v>
      </c>
      <c r="L41" s="4">
        <v>350</v>
      </c>
      <c r="M41" s="4">
        <v>3</v>
      </c>
      <c r="N41" s="4">
        <v>2</v>
      </c>
      <c r="O41" s="4" t="s">
        <v>177</v>
      </c>
      <c r="P41" s="4">
        <v>1</v>
      </c>
      <c r="Q41" s="4">
        <v>4405301</v>
      </c>
      <c r="U41" s="4">
        <v>0</v>
      </c>
      <c r="V41" s="4">
        <v>5000</v>
      </c>
      <c r="W41" s="4">
        <f t="shared" si="0"/>
        <v>1400</v>
      </c>
      <c r="X41" s="4">
        <v>1500</v>
      </c>
      <c r="Y41" s="4">
        <v>2000</v>
      </c>
      <c r="Z41" s="4">
        <f t="shared" si="1"/>
        <v>2050</v>
      </c>
      <c r="AA41" s="4">
        <v>20000</v>
      </c>
      <c r="AC41" s="4">
        <v>2</v>
      </c>
      <c r="AD41" s="4">
        <v>1</v>
      </c>
      <c r="AE41" s="4" t="s">
        <v>179</v>
      </c>
      <c r="AF41" s="41"/>
      <c r="AH41" s="6">
        <v>0</v>
      </c>
      <c r="AI41" s="6">
        <v>0</v>
      </c>
      <c r="AJ41" s="4">
        <v>0</v>
      </c>
      <c r="AK41" s="27">
        <v>0</v>
      </c>
    </row>
    <row r="42" s="4" customFormat="1" spans="1:37">
      <c r="A42" s="4">
        <v>4405303</v>
      </c>
      <c r="B42" s="4">
        <v>4405301</v>
      </c>
      <c r="C42" s="4" t="s">
        <v>174</v>
      </c>
      <c r="D42" s="4" t="s">
        <v>175</v>
      </c>
      <c r="E42" s="27">
        <v>4405301</v>
      </c>
      <c r="F42" s="4">
        <v>2</v>
      </c>
      <c r="G42" s="4">
        <v>3</v>
      </c>
      <c r="H42" s="4" t="s">
        <v>125</v>
      </c>
      <c r="I42" s="4">
        <v>4</v>
      </c>
      <c r="K42" s="4">
        <v>1</v>
      </c>
      <c r="L42" s="4">
        <v>350</v>
      </c>
      <c r="M42" s="4">
        <v>3</v>
      </c>
      <c r="N42" s="4">
        <v>2</v>
      </c>
      <c r="O42" s="4" t="s">
        <v>177</v>
      </c>
      <c r="P42" s="4">
        <v>1</v>
      </c>
      <c r="Q42" s="4">
        <v>4405301</v>
      </c>
      <c r="U42" s="4">
        <v>0</v>
      </c>
      <c r="V42" s="4">
        <v>5000</v>
      </c>
      <c r="W42" s="4">
        <f t="shared" si="0"/>
        <v>1400</v>
      </c>
      <c r="X42" s="4">
        <v>1500</v>
      </c>
      <c r="Y42" s="4">
        <v>2000</v>
      </c>
      <c r="Z42" s="4">
        <f t="shared" si="1"/>
        <v>2050</v>
      </c>
      <c r="AA42" s="4">
        <v>15000</v>
      </c>
      <c r="AC42" s="4">
        <v>2</v>
      </c>
      <c r="AD42" s="4">
        <v>1</v>
      </c>
      <c r="AE42" s="4" t="s">
        <v>179</v>
      </c>
      <c r="AF42" s="41"/>
      <c r="AH42" s="6">
        <v>0</v>
      </c>
      <c r="AI42" s="6">
        <v>0</v>
      </c>
      <c r="AJ42" s="4">
        <v>0</v>
      </c>
      <c r="AK42" s="4">
        <v>0</v>
      </c>
    </row>
    <row r="43" s="3" customFormat="1" spans="1:37">
      <c r="A43" s="3">
        <v>4406101</v>
      </c>
      <c r="B43" s="3">
        <v>4406101</v>
      </c>
      <c r="C43" s="3" t="s">
        <v>87</v>
      </c>
      <c r="D43" s="3" t="s">
        <v>180</v>
      </c>
      <c r="F43" s="3">
        <v>1</v>
      </c>
      <c r="G43" s="3">
        <v>1</v>
      </c>
      <c r="I43" s="3">
        <v>1</v>
      </c>
      <c r="K43" s="3">
        <v>3</v>
      </c>
      <c r="L43" s="3">
        <v>65</v>
      </c>
      <c r="M43" s="3">
        <v>1</v>
      </c>
      <c r="N43" s="3">
        <v>1</v>
      </c>
      <c r="O43" s="3">
        <v>0</v>
      </c>
      <c r="P43" s="3">
        <v>1</v>
      </c>
      <c r="Q43" s="3">
        <v>4406101</v>
      </c>
      <c r="U43" s="3">
        <v>0</v>
      </c>
      <c r="V43" s="3">
        <v>5000</v>
      </c>
      <c r="W43" s="3">
        <v>200</v>
      </c>
      <c r="X43" s="3" t="s">
        <v>181</v>
      </c>
      <c r="Y43" s="3">
        <v>600</v>
      </c>
      <c r="Z43" s="3">
        <f t="shared" ref="Z43:Z56" si="3">Y43+50</f>
        <v>650</v>
      </c>
      <c r="AA43" s="3">
        <f>1000-Z43</f>
        <v>350</v>
      </c>
      <c r="AC43" s="3">
        <v>1</v>
      </c>
      <c r="AD43" s="3">
        <v>0</v>
      </c>
      <c r="AF43" s="41"/>
      <c r="AH43" s="3">
        <v>0</v>
      </c>
      <c r="AI43" s="3">
        <v>0</v>
      </c>
      <c r="AJ43" s="3">
        <v>0</v>
      </c>
      <c r="AK43" s="9">
        <v>0</v>
      </c>
    </row>
    <row r="44" s="5" customFormat="1" spans="1:37">
      <c r="A44" s="5">
        <v>4406201</v>
      </c>
      <c r="B44" s="5">
        <v>4406201</v>
      </c>
      <c r="C44" s="5" t="s">
        <v>182</v>
      </c>
      <c r="D44" s="5" t="s">
        <v>183</v>
      </c>
      <c r="E44" s="29">
        <v>4406201</v>
      </c>
      <c r="F44" s="5">
        <v>2</v>
      </c>
      <c r="G44" s="5">
        <v>1</v>
      </c>
      <c r="H44" s="5" t="s">
        <v>184</v>
      </c>
      <c r="I44" s="5">
        <v>7</v>
      </c>
      <c r="J44" s="5" t="s">
        <v>185</v>
      </c>
      <c r="K44" s="5">
        <v>3</v>
      </c>
      <c r="L44" s="5">
        <v>150</v>
      </c>
      <c r="M44" s="5">
        <v>2</v>
      </c>
      <c r="N44" s="5">
        <v>1</v>
      </c>
      <c r="O44" s="5">
        <v>0</v>
      </c>
      <c r="P44" s="5">
        <v>6</v>
      </c>
      <c r="Q44" s="5">
        <v>4406201</v>
      </c>
      <c r="U44" s="5">
        <v>0</v>
      </c>
      <c r="V44" s="36">
        <v>15000</v>
      </c>
      <c r="W44" s="4">
        <f t="shared" ref="W43:W60" si="4">X44-100</f>
        <v>300</v>
      </c>
      <c r="X44" s="37">
        <v>400</v>
      </c>
      <c r="Y44" s="5">
        <v>670</v>
      </c>
      <c r="Z44" s="4">
        <f t="shared" si="3"/>
        <v>720</v>
      </c>
      <c r="AA44" s="5">
        <v>-1</v>
      </c>
      <c r="AB44" s="5" t="s">
        <v>186</v>
      </c>
      <c r="AC44" s="5">
        <v>1</v>
      </c>
      <c r="AD44" s="5">
        <v>1</v>
      </c>
      <c r="AE44" s="4" t="s">
        <v>123</v>
      </c>
      <c r="AF44" s="41"/>
      <c r="AH44" s="6">
        <v>0</v>
      </c>
      <c r="AI44" s="6">
        <v>0</v>
      </c>
      <c r="AJ44" s="5">
        <v>0</v>
      </c>
      <c r="AK44" s="5">
        <v>0</v>
      </c>
    </row>
    <row r="45" s="5" customFormat="1" spans="1:37">
      <c r="A45" s="5">
        <v>4406202</v>
      </c>
      <c r="B45" s="5">
        <v>4406201</v>
      </c>
      <c r="C45" s="5" t="s">
        <v>182</v>
      </c>
      <c r="D45" s="5" t="s">
        <v>183</v>
      </c>
      <c r="E45" s="29">
        <v>4406201</v>
      </c>
      <c r="F45" s="5">
        <v>2</v>
      </c>
      <c r="G45" s="5">
        <v>2</v>
      </c>
      <c r="H45" s="5" t="s">
        <v>187</v>
      </c>
      <c r="I45" s="5">
        <v>7</v>
      </c>
      <c r="J45" s="5" t="s">
        <v>188</v>
      </c>
      <c r="K45" s="5">
        <v>3</v>
      </c>
      <c r="L45" s="5">
        <v>150</v>
      </c>
      <c r="M45" s="5">
        <v>2</v>
      </c>
      <c r="N45" s="5">
        <v>1</v>
      </c>
      <c r="O45" s="5">
        <v>0</v>
      </c>
      <c r="P45" s="5">
        <v>7</v>
      </c>
      <c r="Q45" s="5">
        <v>4406201</v>
      </c>
      <c r="U45" s="5">
        <v>0</v>
      </c>
      <c r="V45" s="36">
        <v>20000</v>
      </c>
      <c r="W45" s="4">
        <f t="shared" si="4"/>
        <v>300</v>
      </c>
      <c r="X45" s="37">
        <v>400</v>
      </c>
      <c r="Y45" s="5">
        <v>670</v>
      </c>
      <c r="Z45" s="4">
        <f t="shared" si="3"/>
        <v>720</v>
      </c>
      <c r="AA45" s="5">
        <v>-1</v>
      </c>
      <c r="AB45" s="5" t="s">
        <v>186</v>
      </c>
      <c r="AC45" s="5">
        <v>1</v>
      </c>
      <c r="AD45" s="5">
        <v>1</v>
      </c>
      <c r="AE45" s="4" t="s">
        <v>123</v>
      </c>
      <c r="AF45" s="41"/>
      <c r="AH45" s="6">
        <v>0</v>
      </c>
      <c r="AI45" s="6">
        <v>0</v>
      </c>
      <c r="AJ45" s="5">
        <v>0</v>
      </c>
      <c r="AK45" s="29">
        <v>0</v>
      </c>
    </row>
    <row r="46" s="5" customFormat="1" spans="1:37">
      <c r="A46" s="5">
        <v>4406203</v>
      </c>
      <c r="B46" s="5">
        <v>4406201</v>
      </c>
      <c r="C46" s="5" t="s">
        <v>182</v>
      </c>
      <c r="D46" s="5" t="s">
        <v>183</v>
      </c>
      <c r="E46" s="29">
        <v>4406201</v>
      </c>
      <c r="F46" s="5">
        <v>2</v>
      </c>
      <c r="G46" s="5">
        <v>3</v>
      </c>
      <c r="H46" s="30" t="s">
        <v>189</v>
      </c>
      <c r="I46" s="5">
        <v>7</v>
      </c>
      <c r="J46" s="5" t="s">
        <v>188</v>
      </c>
      <c r="K46" s="5">
        <v>3</v>
      </c>
      <c r="L46" s="5">
        <v>150</v>
      </c>
      <c r="M46" s="5">
        <v>2</v>
      </c>
      <c r="N46" s="5">
        <v>1</v>
      </c>
      <c r="O46" s="5">
        <v>0</v>
      </c>
      <c r="P46" s="5">
        <v>7</v>
      </c>
      <c r="Q46" s="5">
        <v>4406201</v>
      </c>
      <c r="U46" s="5">
        <v>0</v>
      </c>
      <c r="V46" s="36">
        <v>25000</v>
      </c>
      <c r="W46" s="4">
        <f t="shared" si="4"/>
        <v>300</v>
      </c>
      <c r="X46" s="37">
        <v>400</v>
      </c>
      <c r="Y46" s="5">
        <v>670</v>
      </c>
      <c r="Z46" s="4">
        <f t="shared" si="3"/>
        <v>720</v>
      </c>
      <c r="AA46" s="5">
        <v>-1</v>
      </c>
      <c r="AB46" s="5" t="s">
        <v>186</v>
      </c>
      <c r="AC46" s="5">
        <v>1</v>
      </c>
      <c r="AD46" s="5">
        <v>1</v>
      </c>
      <c r="AE46" s="4" t="s">
        <v>123</v>
      </c>
      <c r="AF46" s="41" t="s">
        <v>190</v>
      </c>
      <c r="AH46" s="6">
        <v>0</v>
      </c>
      <c r="AI46" s="6">
        <v>0</v>
      </c>
      <c r="AJ46" s="5">
        <v>0</v>
      </c>
      <c r="AK46" s="5">
        <v>0</v>
      </c>
    </row>
    <row r="47" s="5" customFormat="1" spans="1:37">
      <c r="A47" s="5">
        <v>4406301</v>
      </c>
      <c r="B47" s="5">
        <v>4406301</v>
      </c>
      <c r="C47" s="5" t="s">
        <v>191</v>
      </c>
      <c r="D47" s="5" t="s">
        <v>192</v>
      </c>
      <c r="E47" s="29">
        <v>4406301</v>
      </c>
      <c r="F47" s="5">
        <v>2</v>
      </c>
      <c r="G47" s="5">
        <v>1</v>
      </c>
      <c r="H47" s="5" t="s">
        <v>193</v>
      </c>
      <c r="I47" s="5">
        <v>2</v>
      </c>
      <c r="K47" s="5">
        <v>3</v>
      </c>
      <c r="L47" s="5">
        <v>100</v>
      </c>
      <c r="M47" s="5">
        <v>3</v>
      </c>
      <c r="N47" s="5">
        <v>2</v>
      </c>
      <c r="O47" s="5" t="s">
        <v>122</v>
      </c>
      <c r="P47" s="5">
        <v>20</v>
      </c>
      <c r="Q47" s="5">
        <v>4406301</v>
      </c>
      <c r="U47" s="5">
        <v>0</v>
      </c>
      <c r="V47" s="36">
        <v>30000</v>
      </c>
      <c r="W47" s="4">
        <f t="shared" si="4"/>
        <v>970</v>
      </c>
      <c r="X47" s="37">
        <v>1070</v>
      </c>
      <c r="Y47" s="5">
        <v>2000</v>
      </c>
      <c r="Z47" s="4">
        <v>3050</v>
      </c>
      <c r="AA47" s="5">
        <v>20000</v>
      </c>
      <c r="AC47" s="5">
        <v>1</v>
      </c>
      <c r="AD47" s="3">
        <v>0</v>
      </c>
      <c r="AF47" s="41"/>
      <c r="AH47" s="6">
        <v>0</v>
      </c>
      <c r="AI47" s="6">
        <v>0</v>
      </c>
      <c r="AJ47" s="5">
        <v>0</v>
      </c>
      <c r="AK47" s="29">
        <v>0</v>
      </c>
    </row>
    <row r="48" s="5" customFormat="1" spans="1:37">
      <c r="A48" s="5">
        <v>4406302</v>
      </c>
      <c r="B48" s="5">
        <v>4406301</v>
      </c>
      <c r="C48" s="5" t="s">
        <v>191</v>
      </c>
      <c r="D48" s="5" t="s">
        <v>192</v>
      </c>
      <c r="E48" s="29">
        <v>4406301</v>
      </c>
      <c r="F48" s="5">
        <v>2</v>
      </c>
      <c r="G48" s="5">
        <v>2</v>
      </c>
      <c r="H48" s="30" t="s">
        <v>194</v>
      </c>
      <c r="I48" s="5">
        <v>2</v>
      </c>
      <c r="K48" s="5">
        <v>3</v>
      </c>
      <c r="L48" s="5">
        <v>100</v>
      </c>
      <c r="M48" s="5">
        <v>3</v>
      </c>
      <c r="N48" s="5">
        <v>2</v>
      </c>
      <c r="O48" s="5" t="s">
        <v>122</v>
      </c>
      <c r="P48" s="5">
        <v>20</v>
      </c>
      <c r="Q48" s="5">
        <v>4406301</v>
      </c>
      <c r="U48" s="5">
        <v>0</v>
      </c>
      <c r="V48" s="36">
        <v>30000</v>
      </c>
      <c r="W48" s="4">
        <f t="shared" si="4"/>
        <v>970</v>
      </c>
      <c r="X48" s="37">
        <v>1070</v>
      </c>
      <c r="Y48" s="5">
        <v>2000</v>
      </c>
      <c r="Z48" s="4">
        <v>3050</v>
      </c>
      <c r="AA48" s="5">
        <v>20000</v>
      </c>
      <c r="AC48" s="5">
        <v>1</v>
      </c>
      <c r="AD48" s="3">
        <v>0</v>
      </c>
      <c r="AF48" s="41" t="s">
        <v>114</v>
      </c>
      <c r="AH48" s="6">
        <v>0</v>
      </c>
      <c r="AI48" s="6">
        <v>0</v>
      </c>
      <c r="AJ48" s="5">
        <v>0</v>
      </c>
      <c r="AK48" s="5">
        <v>0</v>
      </c>
    </row>
    <row r="49" s="5" customFormat="1" spans="1:37">
      <c r="A49" s="5">
        <v>4406303</v>
      </c>
      <c r="B49" s="5">
        <v>4406301</v>
      </c>
      <c r="C49" s="5" t="s">
        <v>191</v>
      </c>
      <c r="D49" s="5" t="s">
        <v>192</v>
      </c>
      <c r="E49" s="29">
        <v>4406301</v>
      </c>
      <c r="F49" s="5">
        <v>2</v>
      </c>
      <c r="G49" s="5">
        <v>3</v>
      </c>
      <c r="H49" s="30" t="s">
        <v>195</v>
      </c>
      <c r="I49" s="5">
        <v>2</v>
      </c>
      <c r="K49" s="5">
        <v>3</v>
      </c>
      <c r="L49" s="5">
        <v>100</v>
      </c>
      <c r="M49" s="5">
        <v>3</v>
      </c>
      <c r="N49" s="5">
        <v>2</v>
      </c>
      <c r="O49" s="5" t="s">
        <v>122</v>
      </c>
      <c r="P49" s="5">
        <v>20</v>
      </c>
      <c r="Q49" s="5">
        <v>4406301</v>
      </c>
      <c r="U49" s="5">
        <v>0</v>
      </c>
      <c r="V49" s="36">
        <v>30000</v>
      </c>
      <c r="W49" s="4">
        <f t="shared" si="4"/>
        <v>970</v>
      </c>
      <c r="X49" s="37">
        <v>1070</v>
      </c>
      <c r="Y49" s="5">
        <v>2000</v>
      </c>
      <c r="Z49" s="4">
        <v>3050</v>
      </c>
      <c r="AA49" s="5">
        <v>20000</v>
      </c>
      <c r="AC49" s="5">
        <v>1</v>
      </c>
      <c r="AD49" s="3">
        <v>0</v>
      </c>
      <c r="AF49" s="41"/>
      <c r="AH49" s="6">
        <v>0</v>
      </c>
      <c r="AI49" s="6">
        <v>0</v>
      </c>
      <c r="AJ49" s="5">
        <v>0</v>
      </c>
      <c r="AK49" s="29">
        <v>0</v>
      </c>
    </row>
    <row r="50" s="3" customFormat="1" spans="1:37">
      <c r="A50" s="3">
        <v>4407101</v>
      </c>
      <c r="B50" s="3">
        <v>4407101</v>
      </c>
      <c r="C50" s="3" t="s">
        <v>87</v>
      </c>
      <c r="D50" s="3" t="s">
        <v>196</v>
      </c>
      <c r="F50" s="3">
        <v>1</v>
      </c>
      <c r="G50" s="3">
        <v>1</v>
      </c>
      <c r="I50" s="3">
        <v>1</v>
      </c>
      <c r="K50" s="3">
        <v>3</v>
      </c>
      <c r="L50" s="3">
        <v>65</v>
      </c>
      <c r="M50" s="3">
        <v>1</v>
      </c>
      <c r="N50" s="3">
        <v>1</v>
      </c>
      <c r="O50" s="3">
        <v>0</v>
      </c>
      <c r="P50" s="3">
        <v>1</v>
      </c>
      <c r="Q50" s="3">
        <v>4407101</v>
      </c>
      <c r="U50" s="3">
        <v>0</v>
      </c>
      <c r="V50" s="3">
        <v>10000</v>
      </c>
      <c r="W50" s="3">
        <f t="shared" si="4"/>
        <v>200</v>
      </c>
      <c r="X50" s="3">
        <v>300</v>
      </c>
      <c r="Y50" s="3">
        <v>480</v>
      </c>
      <c r="Z50" s="3">
        <f t="shared" si="3"/>
        <v>530</v>
      </c>
      <c r="AA50" s="3">
        <f>1000-Z50</f>
        <v>470</v>
      </c>
      <c r="AC50" s="3">
        <v>1</v>
      </c>
      <c r="AD50" s="3">
        <v>0</v>
      </c>
      <c r="AF50" s="41"/>
      <c r="AH50" s="3">
        <v>0</v>
      </c>
      <c r="AI50" s="3">
        <v>0</v>
      </c>
      <c r="AJ50" s="3">
        <v>0</v>
      </c>
      <c r="AK50" s="3">
        <v>0</v>
      </c>
    </row>
    <row r="51" s="6" customFormat="1" spans="1:37">
      <c r="A51" s="6">
        <v>4407201</v>
      </c>
      <c r="B51" s="6">
        <v>4407201</v>
      </c>
      <c r="C51" s="6" t="s">
        <v>197</v>
      </c>
      <c r="D51" s="6" t="s">
        <v>198</v>
      </c>
      <c r="E51" s="6">
        <v>4407201</v>
      </c>
      <c r="F51" s="6">
        <v>2</v>
      </c>
      <c r="G51" s="6">
        <v>1</v>
      </c>
      <c r="H51" s="6" t="s">
        <v>199</v>
      </c>
      <c r="I51" s="6">
        <v>4</v>
      </c>
      <c r="K51" s="6">
        <v>1</v>
      </c>
      <c r="L51" s="6">
        <v>200</v>
      </c>
      <c r="M51" s="6">
        <v>2</v>
      </c>
      <c r="N51" s="6">
        <v>2</v>
      </c>
      <c r="O51" s="6" t="s">
        <v>157</v>
      </c>
      <c r="P51" s="6">
        <v>1</v>
      </c>
      <c r="Q51" s="6">
        <v>4407201</v>
      </c>
      <c r="U51" s="6">
        <v>0</v>
      </c>
      <c r="V51" s="6">
        <v>10000</v>
      </c>
      <c r="W51" s="6">
        <f t="shared" si="4"/>
        <v>230</v>
      </c>
      <c r="X51" s="6">
        <v>330</v>
      </c>
      <c r="Y51" s="6">
        <v>580</v>
      </c>
      <c r="Z51" s="6">
        <f t="shared" si="3"/>
        <v>630</v>
      </c>
      <c r="AA51" s="6">
        <v>-1</v>
      </c>
      <c r="AB51" s="6" t="s">
        <v>200</v>
      </c>
      <c r="AC51" s="6">
        <v>1</v>
      </c>
      <c r="AD51" s="6">
        <v>1</v>
      </c>
      <c r="AE51" s="6" t="s">
        <v>201</v>
      </c>
      <c r="AF51" s="41"/>
      <c r="AH51" s="6">
        <v>0</v>
      </c>
      <c r="AI51" s="6">
        <v>0</v>
      </c>
      <c r="AJ51" s="6">
        <v>0</v>
      </c>
      <c r="AK51" s="6">
        <v>0</v>
      </c>
    </row>
    <row r="52" s="6" customFormat="1" spans="1:37">
      <c r="A52" s="6">
        <v>4407202</v>
      </c>
      <c r="B52" s="6">
        <v>4407201</v>
      </c>
      <c r="C52" s="6" t="s">
        <v>197</v>
      </c>
      <c r="D52" s="6" t="s">
        <v>198</v>
      </c>
      <c r="E52" s="6">
        <v>4407201</v>
      </c>
      <c r="F52" s="6">
        <v>2</v>
      </c>
      <c r="G52" s="6">
        <v>2</v>
      </c>
      <c r="H52" s="6" t="s">
        <v>202</v>
      </c>
      <c r="I52" s="6">
        <v>4</v>
      </c>
      <c r="K52" s="6">
        <v>2</v>
      </c>
      <c r="L52" s="6">
        <v>200</v>
      </c>
      <c r="M52" s="6">
        <v>2</v>
      </c>
      <c r="N52" s="6">
        <v>2</v>
      </c>
      <c r="O52" s="6" t="s">
        <v>157</v>
      </c>
      <c r="P52" s="6">
        <v>2</v>
      </c>
      <c r="Q52" s="6">
        <v>4407201</v>
      </c>
      <c r="U52" s="6">
        <v>0</v>
      </c>
      <c r="V52" s="6">
        <v>10000</v>
      </c>
      <c r="W52" s="6">
        <f t="shared" si="4"/>
        <v>230</v>
      </c>
      <c r="X52" s="6">
        <v>330</v>
      </c>
      <c r="Y52" s="6">
        <v>580</v>
      </c>
      <c r="Z52" s="6">
        <f t="shared" si="3"/>
        <v>630</v>
      </c>
      <c r="AA52" s="6">
        <v>-1</v>
      </c>
      <c r="AB52" s="6" t="s">
        <v>200</v>
      </c>
      <c r="AC52" s="6">
        <v>1</v>
      </c>
      <c r="AD52" s="6">
        <v>1</v>
      </c>
      <c r="AE52" s="6" t="s">
        <v>201</v>
      </c>
      <c r="AF52" s="41"/>
      <c r="AH52" s="6">
        <v>0</v>
      </c>
      <c r="AI52" s="6">
        <v>0</v>
      </c>
      <c r="AJ52" s="6">
        <v>0</v>
      </c>
      <c r="AK52" s="6">
        <v>0</v>
      </c>
    </row>
    <row r="53" s="6" customFormat="1" spans="1:37">
      <c r="A53" s="6">
        <v>4407203</v>
      </c>
      <c r="B53" s="6">
        <v>4407201</v>
      </c>
      <c r="C53" s="6" t="s">
        <v>197</v>
      </c>
      <c r="D53" s="6" t="s">
        <v>198</v>
      </c>
      <c r="E53" s="6">
        <v>4407201</v>
      </c>
      <c r="F53" s="6">
        <v>2</v>
      </c>
      <c r="G53" s="6">
        <v>3</v>
      </c>
      <c r="H53" s="6" t="s">
        <v>203</v>
      </c>
      <c r="I53" s="6">
        <v>4</v>
      </c>
      <c r="K53" s="6">
        <v>2</v>
      </c>
      <c r="L53" s="6">
        <v>200</v>
      </c>
      <c r="M53" s="6">
        <v>2</v>
      </c>
      <c r="N53" s="6">
        <v>2</v>
      </c>
      <c r="O53" s="6" t="s">
        <v>157</v>
      </c>
      <c r="P53" s="6">
        <v>3</v>
      </c>
      <c r="Q53" s="6">
        <v>4407201</v>
      </c>
      <c r="U53" s="6">
        <v>0</v>
      </c>
      <c r="V53" s="6">
        <v>10000</v>
      </c>
      <c r="W53" s="6">
        <f t="shared" si="4"/>
        <v>230</v>
      </c>
      <c r="X53" s="6">
        <v>330</v>
      </c>
      <c r="Y53" s="6">
        <v>580</v>
      </c>
      <c r="Z53" s="6">
        <f t="shared" si="3"/>
        <v>630</v>
      </c>
      <c r="AA53" s="6">
        <v>-1</v>
      </c>
      <c r="AB53" s="6" t="s">
        <v>200</v>
      </c>
      <c r="AC53" s="6">
        <v>1</v>
      </c>
      <c r="AD53" s="6">
        <v>1</v>
      </c>
      <c r="AE53" s="6" t="s">
        <v>201</v>
      </c>
      <c r="AF53" s="41"/>
      <c r="AH53" s="6">
        <v>0</v>
      </c>
      <c r="AI53" s="6">
        <v>0</v>
      </c>
      <c r="AJ53" s="6">
        <v>0</v>
      </c>
      <c r="AK53" s="6">
        <v>0</v>
      </c>
    </row>
    <row r="54" s="6" customFormat="1" spans="1:37">
      <c r="A54" s="6">
        <v>4407301</v>
      </c>
      <c r="B54" s="6">
        <v>4407301</v>
      </c>
      <c r="C54" s="6" t="s">
        <v>204</v>
      </c>
      <c r="D54" s="6" t="s">
        <v>205</v>
      </c>
      <c r="E54" s="6">
        <v>4407301</v>
      </c>
      <c r="F54" s="6">
        <v>2</v>
      </c>
      <c r="G54" s="6">
        <v>1</v>
      </c>
      <c r="H54" s="6" t="s">
        <v>206</v>
      </c>
      <c r="I54" s="6">
        <v>4</v>
      </c>
      <c r="K54" s="6">
        <v>1</v>
      </c>
      <c r="L54" s="6">
        <v>100</v>
      </c>
      <c r="M54" s="6">
        <v>3</v>
      </c>
      <c r="N54" s="6">
        <v>2</v>
      </c>
      <c r="O54" s="6" t="s">
        <v>122</v>
      </c>
      <c r="P54" s="6">
        <v>1</v>
      </c>
      <c r="Q54" s="6">
        <v>4407301</v>
      </c>
      <c r="U54" s="6">
        <v>0</v>
      </c>
      <c r="V54" s="6">
        <v>5000</v>
      </c>
      <c r="W54" s="6">
        <f t="shared" si="4"/>
        <v>650</v>
      </c>
      <c r="X54" s="6">
        <v>750</v>
      </c>
      <c r="Y54" s="6">
        <v>1080</v>
      </c>
      <c r="Z54" s="6">
        <f t="shared" si="3"/>
        <v>1130</v>
      </c>
      <c r="AA54" s="6">
        <v>22000</v>
      </c>
      <c r="AC54" s="6">
        <v>1</v>
      </c>
      <c r="AD54" s="6">
        <v>1</v>
      </c>
      <c r="AE54" s="6" t="s">
        <v>207</v>
      </c>
      <c r="AF54" s="41"/>
      <c r="AH54" s="6">
        <v>0</v>
      </c>
      <c r="AI54" s="6">
        <v>0</v>
      </c>
      <c r="AJ54" s="6">
        <v>0</v>
      </c>
      <c r="AK54" s="6">
        <v>0</v>
      </c>
    </row>
    <row r="55" s="6" customFormat="1" spans="1:37">
      <c r="A55" s="6">
        <v>4407302</v>
      </c>
      <c r="B55" s="6">
        <v>4407301</v>
      </c>
      <c r="C55" s="6" t="s">
        <v>204</v>
      </c>
      <c r="D55" s="6" t="s">
        <v>205</v>
      </c>
      <c r="E55" s="6">
        <v>4407301</v>
      </c>
      <c r="F55" s="6">
        <v>2</v>
      </c>
      <c r="G55" s="6">
        <v>2</v>
      </c>
      <c r="H55" s="6" t="s">
        <v>125</v>
      </c>
      <c r="I55" s="6">
        <v>4</v>
      </c>
      <c r="K55" s="6">
        <v>1</v>
      </c>
      <c r="L55" s="6">
        <v>100</v>
      </c>
      <c r="M55" s="6">
        <v>3</v>
      </c>
      <c r="N55" s="6">
        <v>2</v>
      </c>
      <c r="O55" s="6" t="s">
        <v>122</v>
      </c>
      <c r="P55" s="6">
        <v>1</v>
      </c>
      <c r="Q55" s="6">
        <v>4407301</v>
      </c>
      <c r="U55" s="6">
        <v>0</v>
      </c>
      <c r="V55" s="6">
        <v>5000</v>
      </c>
      <c r="W55" s="6">
        <f t="shared" si="4"/>
        <v>650</v>
      </c>
      <c r="X55" s="6">
        <v>750</v>
      </c>
      <c r="Y55" s="6">
        <v>1080</v>
      </c>
      <c r="Z55" s="6">
        <f t="shared" si="3"/>
        <v>1130</v>
      </c>
      <c r="AA55" s="6">
        <v>16000</v>
      </c>
      <c r="AC55" s="6">
        <v>1</v>
      </c>
      <c r="AD55" s="6">
        <v>1</v>
      </c>
      <c r="AE55" s="6" t="s">
        <v>207</v>
      </c>
      <c r="AF55" s="41"/>
      <c r="AH55" s="6">
        <v>0</v>
      </c>
      <c r="AI55" s="6">
        <v>0</v>
      </c>
      <c r="AJ55" s="6">
        <v>0</v>
      </c>
      <c r="AK55" s="6">
        <v>0</v>
      </c>
    </row>
    <row r="56" s="6" customFormat="1" ht="15" spans="1:37">
      <c r="A56" s="6">
        <v>4407303</v>
      </c>
      <c r="B56" s="6">
        <v>4407301</v>
      </c>
      <c r="C56" s="6" t="s">
        <v>204</v>
      </c>
      <c r="D56" s="6" t="s">
        <v>205</v>
      </c>
      <c r="E56" s="6">
        <v>4407301</v>
      </c>
      <c r="F56" s="6">
        <v>2</v>
      </c>
      <c r="G56" s="6">
        <v>3</v>
      </c>
      <c r="H56" s="6" t="s">
        <v>208</v>
      </c>
      <c r="I56" s="6">
        <v>4</v>
      </c>
      <c r="K56" s="6">
        <v>1</v>
      </c>
      <c r="L56" s="6">
        <v>100</v>
      </c>
      <c r="M56" s="6">
        <v>3</v>
      </c>
      <c r="N56" s="6">
        <v>2</v>
      </c>
      <c r="O56" s="6" t="s">
        <v>209</v>
      </c>
      <c r="P56" s="6">
        <v>1</v>
      </c>
      <c r="Q56" s="6">
        <v>4407301</v>
      </c>
      <c r="U56" s="6">
        <v>0</v>
      </c>
      <c r="V56" s="6">
        <v>5000</v>
      </c>
      <c r="W56" s="6">
        <f t="shared" si="4"/>
        <v>650</v>
      </c>
      <c r="X56" s="6">
        <v>750</v>
      </c>
      <c r="Y56" s="6">
        <v>1080</v>
      </c>
      <c r="Z56" s="6">
        <f t="shared" si="3"/>
        <v>1130</v>
      </c>
      <c r="AA56" s="6">
        <v>16000</v>
      </c>
      <c r="AC56" s="6">
        <v>1</v>
      </c>
      <c r="AD56" s="6">
        <v>1</v>
      </c>
      <c r="AE56" s="6" t="s">
        <v>210</v>
      </c>
      <c r="AF56" s="41"/>
      <c r="AH56" s="6">
        <v>0</v>
      </c>
      <c r="AI56" s="6">
        <v>0</v>
      </c>
      <c r="AJ56" s="6">
        <v>0</v>
      </c>
      <c r="AK56" s="6">
        <v>0</v>
      </c>
    </row>
    <row r="57" s="7" customFormat="1" spans="1:37">
      <c r="A57" s="31">
        <v>4408101</v>
      </c>
      <c r="B57" s="7">
        <v>4408101</v>
      </c>
      <c r="C57" s="7" t="s">
        <v>87</v>
      </c>
      <c r="D57" s="7" t="s">
        <v>211</v>
      </c>
      <c r="F57" s="7">
        <v>1</v>
      </c>
      <c r="G57" s="7">
        <v>1</v>
      </c>
      <c r="I57" s="7">
        <v>7</v>
      </c>
      <c r="J57" s="3" t="s">
        <v>212</v>
      </c>
      <c r="K57" s="7">
        <v>3</v>
      </c>
      <c r="L57" s="7">
        <v>350</v>
      </c>
      <c r="M57" s="7">
        <v>1</v>
      </c>
      <c r="N57" s="7">
        <v>1</v>
      </c>
      <c r="O57" s="7">
        <v>0</v>
      </c>
      <c r="P57" s="7">
        <v>1</v>
      </c>
      <c r="Q57" s="7">
        <v>4408101</v>
      </c>
      <c r="U57" s="7">
        <v>0</v>
      </c>
      <c r="V57" s="7">
        <v>10000</v>
      </c>
      <c r="W57" s="7">
        <f t="shared" si="4"/>
        <v>170</v>
      </c>
      <c r="X57" s="7">
        <v>270</v>
      </c>
      <c r="Y57" s="7">
        <v>470</v>
      </c>
      <c r="Z57" s="7">
        <v>520</v>
      </c>
      <c r="AA57" s="7">
        <f>1000-Z57</f>
        <v>480</v>
      </c>
      <c r="AC57" s="7">
        <v>1</v>
      </c>
      <c r="AD57" s="3">
        <v>0</v>
      </c>
      <c r="AF57" s="42"/>
      <c r="AH57" s="7">
        <v>0</v>
      </c>
      <c r="AI57" s="7">
        <v>0</v>
      </c>
      <c r="AJ57" s="7">
        <v>0</v>
      </c>
      <c r="AK57" s="7">
        <v>0</v>
      </c>
    </row>
    <row r="58" s="5" customFormat="1" spans="1:37">
      <c r="A58" s="32">
        <v>4408201</v>
      </c>
      <c r="B58" s="5">
        <v>4408201</v>
      </c>
      <c r="C58" s="5" t="s">
        <v>213</v>
      </c>
      <c r="D58" s="5" t="s">
        <v>214</v>
      </c>
      <c r="E58" s="5">
        <v>4408201</v>
      </c>
      <c r="F58" s="5">
        <v>2</v>
      </c>
      <c r="G58" s="5">
        <v>1</v>
      </c>
      <c r="H58" s="5" t="s">
        <v>215</v>
      </c>
      <c r="I58" s="5">
        <v>2</v>
      </c>
      <c r="K58" s="5">
        <v>3</v>
      </c>
      <c r="L58" s="5">
        <v>350</v>
      </c>
      <c r="M58" s="5">
        <v>2</v>
      </c>
      <c r="N58" s="5">
        <v>1</v>
      </c>
      <c r="O58" s="6" t="s">
        <v>100</v>
      </c>
      <c r="P58" s="5">
        <v>3</v>
      </c>
      <c r="Q58" s="5">
        <v>4408201</v>
      </c>
      <c r="U58" s="5">
        <v>0</v>
      </c>
      <c r="V58" s="5">
        <v>10000</v>
      </c>
      <c r="W58" s="5">
        <f t="shared" si="4"/>
        <v>730</v>
      </c>
      <c r="X58" s="37">
        <v>830</v>
      </c>
      <c r="Y58" s="5">
        <v>1000</v>
      </c>
      <c r="Z58" s="5">
        <v>2250</v>
      </c>
      <c r="AA58" s="5">
        <v>-1</v>
      </c>
      <c r="AB58" s="6" t="s">
        <v>166</v>
      </c>
      <c r="AC58" s="5">
        <v>1</v>
      </c>
      <c r="AD58" s="3">
        <v>0</v>
      </c>
      <c r="AF58" s="41" t="s">
        <v>216</v>
      </c>
      <c r="AH58" s="6">
        <v>0</v>
      </c>
      <c r="AI58" s="6">
        <v>0</v>
      </c>
      <c r="AJ58" s="5">
        <v>0</v>
      </c>
      <c r="AK58" s="5">
        <v>0</v>
      </c>
    </row>
    <row r="59" s="5" customFormat="1" spans="1:37">
      <c r="A59" s="32">
        <v>4408202</v>
      </c>
      <c r="B59" s="5">
        <v>4408201</v>
      </c>
      <c r="C59" s="5" t="s">
        <v>213</v>
      </c>
      <c r="D59" s="5" t="s">
        <v>214</v>
      </c>
      <c r="E59" s="5">
        <v>4408201</v>
      </c>
      <c r="F59" s="5">
        <v>2</v>
      </c>
      <c r="G59" s="5">
        <v>2</v>
      </c>
      <c r="H59" s="5" t="s">
        <v>217</v>
      </c>
      <c r="I59" s="5">
        <v>2</v>
      </c>
      <c r="K59" s="5">
        <v>3</v>
      </c>
      <c r="L59" s="5">
        <v>350</v>
      </c>
      <c r="M59" s="5">
        <v>2</v>
      </c>
      <c r="N59" s="5">
        <v>1</v>
      </c>
      <c r="O59" s="6" t="s">
        <v>100</v>
      </c>
      <c r="P59" s="5">
        <v>3</v>
      </c>
      <c r="Q59" s="5">
        <v>4408201</v>
      </c>
      <c r="U59" s="5">
        <v>0</v>
      </c>
      <c r="V59" s="5">
        <v>15000</v>
      </c>
      <c r="W59" s="5">
        <f t="shared" si="4"/>
        <v>730</v>
      </c>
      <c r="X59" s="37">
        <v>830</v>
      </c>
      <c r="Y59" s="5">
        <v>1000</v>
      </c>
      <c r="Z59" s="5">
        <v>2250</v>
      </c>
      <c r="AA59" s="5">
        <v>-1</v>
      </c>
      <c r="AB59" s="6" t="s">
        <v>166</v>
      </c>
      <c r="AC59" s="5">
        <v>1</v>
      </c>
      <c r="AD59" s="3">
        <v>0</v>
      </c>
      <c r="AF59" s="41" t="s">
        <v>216</v>
      </c>
      <c r="AH59" s="6">
        <v>0</v>
      </c>
      <c r="AI59" s="6">
        <v>0</v>
      </c>
      <c r="AJ59" s="5">
        <v>0</v>
      </c>
      <c r="AK59" s="5">
        <v>0</v>
      </c>
    </row>
    <row r="60" s="5" customFormat="1" spans="1:37">
      <c r="A60" s="32">
        <v>4408203</v>
      </c>
      <c r="B60" s="5">
        <v>4408201</v>
      </c>
      <c r="C60" s="5" t="s">
        <v>213</v>
      </c>
      <c r="D60" s="5" t="s">
        <v>214</v>
      </c>
      <c r="E60" s="5">
        <v>4408201</v>
      </c>
      <c r="F60" s="5">
        <v>2</v>
      </c>
      <c r="G60" s="5">
        <v>3</v>
      </c>
      <c r="H60" s="5" t="s">
        <v>138</v>
      </c>
      <c r="I60" s="5">
        <v>2</v>
      </c>
      <c r="K60" s="5">
        <v>3</v>
      </c>
      <c r="L60" s="5">
        <v>350</v>
      </c>
      <c r="M60" s="5">
        <v>2</v>
      </c>
      <c r="N60" s="5">
        <v>1</v>
      </c>
      <c r="O60" s="6" t="s">
        <v>100</v>
      </c>
      <c r="P60" s="5">
        <v>3</v>
      </c>
      <c r="Q60" s="5">
        <v>4408201</v>
      </c>
      <c r="U60" s="5">
        <v>0</v>
      </c>
      <c r="V60" s="5">
        <v>20000</v>
      </c>
      <c r="W60" s="5">
        <f t="shared" si="4"/>
        <v>730</v>
      </c>
      <c r="X60" s="37">
        <v>830</v>
      </c>
      <c r="Y60" s="5">
        <v>1000</v>
      </c>
      <c r="Z60" s="5">
        <v>2250</v>
      </c>
      <c r="AA60" s="5">
        <v>-1</v>
      </c>
      <c r="AB60" s="6" t="s">
        <v>166</v>
      </c>
      <c r="AC60" s="5">
        <v>1</v>
      </c>
      <c r="AD60" s="3">
        <v>0</v>
      </c>
      <c r="AF60" s="41" t="s">
        <v>216</v>
      </c>
      <c r="AH60" s="6">
        <v>0</v>
      </c>
      <c r="AI60" s="6">
        <v>0</v>
      </c>
      <c r="AJ60" s="5">
        <v>0</v>
      </c>
      <c r="AK60" s="5">
        <v>0</v>
      </c>
    </row>
    <row r="61" s="5" customFormat="1" spans="1:37">
      <c r="A61" s="32">
        <v>4408301</v>
      </c>
      <c r="B61" s="5">
        <v>4408301</v>
      </c>
      <c r="C61" s="5" t="s">
        <v>218</v>
      </c>
      <c r="D61" s="5" t="s">
        <v>219</v>
      </c>
      <c r="E61" s="5">
        <v>4408301</v>
      </c>
      <c r="F61" s="5">
        <v>2</v>
      </c>
      <c r="G61" s="5">
        <v>1</v>
      </c>
      <c r="H61" s="5" t="s">
        <v>220</v>
      </c>
      <c r="I61" s="5">
        <v>2</v>
      </c>
      <c r="K61" s="5">
        <v>3</v>
      </c>
      <c r="L61" s="5">
        <v>600</v>
      </c>
      <c r="M61" s="5">
        <v>3</v>
      </c>
      <c r="N61" s="34">
        <v>2</v>
      </c>
      <c r="O61" s="5" t="s">
        <v>221</v>
      </c>
      <c r="P61" s="5">
        <v>6</v>
      </c>
      <c r="Q61" s="5">
        <v>4408301</v>
      </c>
      <c r="U61" s="5">
        <v>0</v>
      </c>
      <c r="V61" s="5">
        <v>10000</v>
      </c>
      <c r="W61" s="5">
        <v>320</v>
      </c>
      <c r="X61" s="38">
        <v>420</v>
      </c>
      <c r="Y61" s="5">
        <v>2250</v>
      </c>
      <c r="Z61" s="5">
        <v>2230</v>
      </c>
      <c r="AA61" s="6">
        <v>20000</v>
      </c>
      <c r="AC61" s="5">
        <v>1</v>
      </c>
      <c r="AD61" s="5">
        <v>1</v>
      </c>
      <c r="AE61" s="5" t="s">
        <v>222</v>
      </c>
      <c r="AF61" s="41"/>
      <c r="AH61" s="6">
        <v>0</v>
      </c>
      <c r="AI61" s="6">
        <v>0</v>
      </c>
      <c r="AJ61" s="5">
        <v>0</v>
      </c>
      <c r="AK61" s="5">
        <v>0</v>
      </c>
    </row>
    <row r="62" s="5" customFormat="1" spans="1:37">
      <c r="A62" s="32">
        <v>4408302</v>
      </c>
      <c r="B62" s="5">
        <v>4408301</v>
      </c>
      <c r="C62" s="5" t="s">
        <v>218</v>
      </c>
      <c r="D62" s="5" t="s">
        <v>219</v>
      </c>
      <c r="E62" s="5">
        <v>4408301</v>
      </c>
      <c r="F62" s="5">
        <v>2</v>
      </c>
      <c r="G62" s="5">
        <v>2</v>
      </c>
      <c r="H62" s="5" t="s">
        <v>138</v>
      </c>
      <c r="I62" s="5">
        <v>2</v>
      </c>
      <c r="K62" s="5">
        <v>3</v>
      </c>
      <c r="L62" s="5">
        <v>600</v>
      </c>
      <c r="M62" s="5">
        <v>3</v>
      </c>
      <c r="N62" s="5">
        <v>2</v>
      </c>
      <c r="O62" s="5" t="s">
        <v>221</v>
      </c>
      <c r="P62" s="5">
        <v>6</v>
      </c>
      <c r="Q62" s="5">
        <v>4408301</v>
      </c>
      <c r="U62" s="5">
        <v>0</v>
      </c>
      <c r="V62" s="5">
        <v>10000</v>
      </c>
      <c r="W62" s="5">
        <v>320</v>
      </c>
      <c r="X62" s="38">
        <v>420</v>
      </c>
      <c r="Y62" s="5">
        <v>2250</v>
      </c>
      <c r="Z62" s="5">
        <v>2230</v>
      </c>
      <c r="AA62" s="6">
        <v>20000</v>
      </c>
      <c r="AC62" s="5">
        <v>1</v>
      </c>
      <c r="AD62" s="5">
        <v>1</v>
      </c>
      <c r="AE62" s="5" t="s">
        <v>222</v>
      </c>
      <c r="AF62" s="41"/>
      <c r="AH62" s="6">
        <v>0</v>
      </c>
      <c r="AI62" s="6">
        <v>0</v>
      </c>
      <c r="AJ62" s="5">
        <v>0</v>
      </c>
      <c r="AK62" s="5">
        <v>0</v>
      </c>
    </row>
    <row r="63" s="8" customFormat="1" ht="15" spans="1:37">
      <c r="A63" s="33">
        <v>4408303</v>
      </c>
      <c r="B63" s="8">
        <v>4408301</v>
      </c>
      <c r="C63" s="8" t="s">
        <v>218</v>
      </c>
      <c r="D63" s="8" t="s">
        <v>219</v>
      </c>
      <c r="E63" s="8">
        <v>4408301</v>
      </c>
      <c r="F63" s="8">
        <v>2</v>
      </c>
      <c r="G63" s="8">
        <v>3</v>
      </c>
      <c r="H63" s="8" t="s">
        <v>125</v>
      </c>
      <c r="I63" s="8">
        <v>2</v>
      </c>
      <c r="K63" s="8">
        <v>3</v>
      </c>
      <c r="L63" s="8">
        <v>600</v>
      </c>
      <c r="M63" s="8">
        <v>3</v>
      </c>
      <c r="N63" s="8">
        <v>2</v>
      </c>
      <c r="O63" s="5" t="s">
        <v>221</v>
      </c>
      <c r="P63" s="8">
        <v>6</v>
      </c>
      <c r="Q63" s="8">
        <v>4408301</v>
      </c>
      <c r="U63" s="8">
        <v>0</v>
      </c>
      <c r="V63" s="8">
        <v>10000</v>
      </c>
      <c r="W63" s="5">
        <v>320</v>
      </c>
      <c r="X63" s="38">
        <v>420</v>
      </c>
      <c r="Y63" s="8">
        <v>2250</v>
      </c>
      <c r="Z63" s="5">
        <v>2230</v>
      </c>
      <c r="AA63" s="6">
        <v>20000</v>
      </c>
      <c r="AC63" s="8">
        <v>1</v>
      </c>
      <c r="AD63" s="5">
        <v>1</v>
      </c>
      <c r="AE63" s="5" t="s">
        <v>222</v>
      </c>
      <c r="AF63" s="43"/>
      <c r="AH63" s="12">
        <v>0</v>
      </c>
      <c r="AI63" s="12">
        <v>0</v>
      </c>
      <c r="AJ63" s="8">
        <v>0</v>
      </c>
      <c r="AK63" s="8">
        <v>0</v>
      </c>
    </row>
    <row r="64" s="3" customFormat="1" spans="1:37">
      <c r="A64" s="3">
        <v>4409101</v>
      </c>
      <c r="B64" s="3">
        <v>4409101</v>
      </c>
      <c r="C64" s="3" t="s">
        <v>87</v>
      </c>
      <c r="D64" s="3" t="s">
        <v>223</v>
      </c>
      <c r="F64" s="3">
        <v>1</v>
      </c>
      <c r="G64" s="3">
        <v>1</v>
      </c>
      <c r="I64" s="3">
        <v>1</v>
      </c>
      <c r="K64" s="3">
        <v>3</v>
      </c>
      <c r="L64" s="3">
        <v>65</v>
      </c>
      <c r="M64" s="3">
        <v>1</v>
      </c>
      <c r="N64" s="3">
        <v>1</v>
      </c>
      <c r="O64" s="3">
        <v>0</v>
      </c>
      <c r="P64" s="3">
        <v>1</v>
      </c>
      <c r="Q64" s="3">
        <v>4409101</v>
      </c>
      <c r="U64" s="3">
        <v>0</v>
      </c>
      <c r="V64" s="3">
        <v>10000</v>
      </c>
      <c r="W64" s="3">
        <f>X64-100</f>
        <v>180</v>
      </c>
      <c r="X64" s="3">
        <v>280</v>
      </c>
      <c r="Y64" s="3">
        <v>560</v>
      </c>
      <c r="Z64" s="3">
        <v>800</v>
      </c>
      <c r="AA64" s="3">
        <f>1000-Z64</f>
        <v>200</v>
      </c>
      <c r="AC64" s="3">
        <v>1</v>
      </c>
      <c r="AD64" s="3">
        <v>0</v>
      </c>
      <c r="AF64" s="41"/>
      <c r="AH64" s="3">
        <v>0</v>
      </c>
      <c r="AI64" s="3">
        <v>0</v>
      </c>
      <c r="AJ64" s="3">
        <v>0</v>
      </c>
      <c r="AK64" s="3">
        <v>0</v>
      </c>
    </row>
    <row r="65" s="6" customFormat="1" spans="1:37">
      <c r="A65" s="6">
        <v>4409201</v>
      </c>
      <c r="B65" s="6">
        <v>4409201</v>
      </c>
      <c r="C65" s="6" t="s">
        <v>224</v>
      </c>
      <c r="D65" s="6" t="s">
        <v>225</v>
      </c>
      <c r="E65" s="6">
        <v>4409201</v>
      </c>
      <c r="F65" s="6">
        <v>2</v>
      </c>
      <c r="G65" s="6">
        <v>1</v>
      </c>
      <c r="H65" s="6" t="s">
        <v>226</v>
      </c>
      <c r="I65" s="6">
        <v>2</v>
      </c>
      <c r="K65" s="6">
        <v>3</v>
      </c>
      <c r="L65" s="6">
        <v>300</v>
      </c>
      <c r="M65" s="6">
        <v>2</v>
      </c>
      <c r="N65" s="6">
        <v>1</v>
      </c>
      <c r="O65" s="6">
        <v>0</v>
      </c>
      <c r="P65" s="6">
        <v>1</v>
      </c>
      <c r="Q65" s="6">
        <v>4409201</v>
      </c>
      <c r="U65" s="6">
        <v>0</v>
      </c>
      <c r="V65" s="6">
        <v>27000</v>
      </c>
      <c r="W65" s="6">
        <v>400</v>
      </c>
      <c r="X65" s="6" t="s">
        <v>227</v>
      </c>
      <c r="Y65" s="6">
        <v>1170</v>
      </c>
      <c r="Z65" s="6">
        <v>1220</v>
      </c>
      <c r="AA65" s="6">
        <v>-1</v>
      </c>
      <c r="AB65" s="6" t="s">
        <v>166</v>
      </c>
      <c r="AC65" s="6">
        <v>1</v>
      </c>
      <c r="AD65" s="6">
        <v>1</v>
      </c>
      <c r="AE65" s="6" t="s">
        <v>123</v>
      </c>
      <c r="AF65" s="41"/>
      <c r="AH65" s="6">
        <v>5</v>
      </c>
      <c r="AI65" s="6">
        <v>3</v>
      </c>
      <c r="AJ65" s="6">
        <v>0</v>
      </c>
      <c r="AK65" s="6">
        <v>0</v>
      </c>
    </row>
    <row r="66" s="6" customFormat="1" spans="1:37">
      <c r="A66" s="6">
        <v>4409202</v>
      </c>
      <c r="B66" s="6">
        <v>4409201</v>
      </c>
      <c r="C66" s="6" t="s">
        <v>224</v>
      </c>
      <c r="D66" s="6" t="s">
        <v>225</v>
      </c>
      <c r="E66" s="6">
        <v>4409201</v>
      </c>
      <c r="F66" s="6">
        <v>2</v>
      </c>
      <c r="G66" s="6">
        <v>2</v>
      </c>
      <c r="H66" s="6" t="s">
        <v>228</v>
      </c>
      <c r="I66" s="6">
        <v>2</v>
      </c>
      <c r="K66" s="6">
        <v>3</v>
      </c>
      <c r="L66" s="6">
        <v>300</v>
      </c>
      <c r="M66" s="6">
        <v>2</v>
      </c>
      <c r="N66" s="6">
        <v>1</v>
      </c>
      <c r="O66" s="6">
        <v>0</v>
      </c>
      <c r="P66" s="6">
        <v>1</v>
      </c>
      <c r="Q66" s="6">
        <v>4409201</v>
      </c>
      <c r="U66" s="6">
        <v>0</v>
      </c>
      <c r="V66" s="6">
        <v>27000</v>
      </c>
      <c r="W66" s="6">
        <v>400</v>
      </c>
      <c r="X66" s="6" t="s">
        <v>227</v>
      </c>
      <c r="Y66" s="6">
        <v>1170</v>
      </c>
      <c r="Z66" s="6">
        <v>1220</v>
      </c>
      <c r="AA66" s="6">
        <v>-1</v>
      </c>
      <c r="AB66" s="6" t="s">
        <v>166</v>
      </c>
      <c r="AC66" s="6">
        <v>1</v>
      </c>
      <c r="AD66" s="6">
        <v>1</v>
      </c>
      <c r="AE66" s="6" t="s">
        <v>123</v>
      </c>
      <c r="AF66" s="41" t="s">
        <v>229</v>
      </c>
      <c r="AG66" s="6" t="s">
        <v>230</v>
      </c>
      <c r="AH66" s="6">
        <v>5</v>
      </c>
      <c r="AI66" s="6">
        <v>3</v>
      </c>
      <c r="AJ66" s="6">
        <v>0</v>
      </c>
      <c r="AK66" s="6">
        <v>0</v>
      </c>
    </row>
    <row r="67" s="6" customFormat="1" spans="1:37">
      <c r="A67" s="6">
        <v>4409203</v>
      </c>
      <c r="B67" s="6">
        <v>4409201</v>
      </c>
      <c r="C67" s="6" t="s">
        <v>224</v>
      </c>
      <c r="D67" s="6" t="s">
        <v>225</v>
      </c>
      <c r="E67" s="6">
        <v>4409201</v>
      </c>
      <c r="F67" s="6">
        <v>2</v>
      </c>
      <c r="G67" s="6">
        <v>3</v>
      </c>
      <c r="H67" s="6" t="s">
        <v>231</v>
      </c>
      <c r="I67" s="6">
        <v>2</v>
      </c>
      <c r="K67" s="6">
        <v>3</v>
      </c>
      <c r="L67" s="6">
        <v>300</v>
      </c>
      <c r="M67" s="6">
        <v>2</v>
      </c>
      <c r="N67" s="6">
        <v>2</v>
      </c>
      <c r="O67" s="6" t="s">
        <v>122</v>
      </c>
      <c r="P67" s="6">
        <v>3</v>
      </c>
      <c r="Q67" s="6">
        <v>4409201</v>
      </c>
      <c r="U67" s="6">
        <v>0</v>
      </c>
      <c r="V67" s="6">
        <v>27000</v>
      </c>
      <c r="W67" s="6">
        <v>400</v>
      </c>
      <c r="X67" s="6" t="s">
        <v>227</v>
      </c>
      <c r="Y67" s="6">
        <v>1170</v>
      </c>
      <c r="Z67" s="6">
        <v>1220</v>
      </c>
      <c r="AA67" s="6">
        <v>-1</v>
      </c>
      <c r="AB67" s="6" t="s">
        <v>166</v>
      </c>
      <c r="AC67" s="6">
        <v>1</v>
      </c>
      <c r="AD67" s="6">
        <v>1</v>
      </c>
      <c r="AE67" s="6" t="s">
        <v>123</v>
      </c>
      <c r="AF67" s="41" t="s">
        <v>229</v>
      </c>
      <c r="AG67" s="6" t="s">
        <v>232</v>
      </c>
      <c r="AH67" s="6">
        <v>5</v>
      </c>
      <c r="AI67" s="6">
        <v>3</v>
      </c>
      <c r="AJ67" s="6">
        <v>0</v>
      </c>
      <c r="AK67" s="6">
        <v>0</v>
      </c>
    </row>
    <row r="68" s="6" customFormat="1" spans="1:37">
      <c r="A68" s="6">
        <v>4409301</v>
      </c>
      <c r="B68" s="6">
        <v>4409301</v>
      </c>
      <c r="C68" s="6" t="s">
        <v>233</v>
      </c>
      <c r="D68" s="6" t="s">
        <v>234</v>
      </c>
      <c r="E68" s="6">
        <v>4409301</v>
      </c>
      <c r="F68" s="6">
        <v>2</v>
      </c>
      <c r="G68" s="6">
        <v>1</v>
      </c>
      <c r="H68" s="6" t="s">
        <v>235</v>
      </c>
      <c r="I68" s="6">
        <v>4</v>
      </c>
      <c r="K68" s="6">
        <v>1</v>
      </c>
      <c r="L68" s="6">
        <v>300</v>
      </c>
      <c r="M68" s="6">
        <v>3</v>
      </c>
      <c r="N68" s="6">
        <v>2</v>
      </c>
      <c r="O68" s="6" t="s">
        <v>122</v>
      </c>
      <c r="P68" s="6">
        <v>1</v>
      </c>
      <c r="Q68" s="6">
        <v>4409301</v>
      </c>
      <c r="U68" s="6">
        <v>0</v>
      </c>
      <c r="V68" s="6">
        <v>30000</v>
      </c>
      <c r="W68" s="6">
        <f t="shared" ref="W65:W70" si="5">X68-100</f>
        <v>320</v>
      </c>
      <c r="X68" s="6">
        <v>420</v>
      </c>
      <c r="Y68" s="6">
        <v>750</v>
      </c>
      <c r="Z68" s="6">
        <v>800</v>
      </c>
      <c r="AA68" s="6">
        <v>20000</v>
      </c>
      <c r="AC68" s="6">
        <v>2</v>
      </c>
      <c r="AD68" s="6">
        <v>1</v>
      </c>
      <c r="AE68" s="6" t="s">
        <v>236</v>
      </c>
      <c r="AF68" s="41"/>
      <c r="AH68" s="6">
        <v>5</v>
      </c>
      <c r="AI68" s="6">
        <v>2</v>
      </c>
      <c r="AJ68" s="6">
        <v>0</v>
      </c>
      <c r="AK68" s="6">
        <v>0</v>
      </c>
    </row>
    <row r="69" s="6" customFormat="1" spans="1:37">
      <c r="A69" s="6">
        <v>4409302</v>
      </c>
      <c r="B69" s="6">
        <v>4409301</v>
      </c>
      <c r="C69" s="6" t="s">
        <v>233</v>
      </c>
      <c r="D69" s="6" t="s">
        <v>234</v>
      </c>
      <c r="E69" s="6">
        <v>4409301</v>
      </c>
      <c r="F69" s="6">
        <v>2</v>
      </c>
      <c r="G69" s="6">
        <v>2</v>
      </c>
      <c r="H69" s="6" t="s">
        <v>237</v>
      </c>
      <c r="I69" s="6">
        <v>4</v>
      </c>
      <c r="K69" s="6">
        <v>1</v>
      </c>
      <c r="L69" s="6">
        <v>300</v>
      </c>
      <c r="M69" s="6">
        <v>3</v>
      </c>
      <c r="N69" s="6">
        <v>2</v>
      </c>
      <c r="O69" s="6" t="s">
        <v>122</v>
      </c>
      <c r="P69" s="6">
        <v>1</v>
      </c>
      <c r="Q69" s="6">
        <v>4409301</v>
      </c>
      <c r="U69" s="6">
        <v>0</v>
      </c>
      <c r="V69" s="6">
        <v>30000</v>
      </c>
      <c r="W69" s="6">
        <f t="shared" si="5"/>
        <v>320</v>
      </c>
      <c r="X69" s="6">
        <v>420</v>
      </c>
      <c r="Y69" s="6">
        <v>750</v>
      </c>
      <c r="Z69" s="6">
        <v>800</v>
      </c>
      <c r="AA69" s="6">
        <v>20000</v>
      </c>
      <c r="AC69" s="6">
        <v>2</v>
      </c>
      <c r="AD69" s="6">
        <v>1</v>
      </c>
      <c r="AE69" s="6" t="s">
        <v>238</v>
      </c>
      <c r="AF69" s="41"/>
      <c r="AH69" s="6">
        <v>5</v>
      </c>
      <c r="AI69" s="6">
        <v>2</v>
      </c>
      <c r="AJ69" s="6">
        <v>0</v>
      </c>
      <c r="AK69" s="6">
        <v>0</v>
      </c>
    </row>
    <row r="70" s="6" customFormat="1" spans="1:37">
      <c r="A70" s="6">
        <v>4409303</v>
      </c>
      <c r="B70" s="6">
        <v>4409301</v>
      </c>
      <c r="C70" s="6" t="s">
        <v>233</v>
      </c>
      <c r="D70" s="6" t="s">
        <v>234</v>
      </c>
      <c r="E70" s="6">
        <v>4409301</v>
      </c>
      <c r="F70" s="6">
        <v>2</v>
      </c>
      <c r="G70" s="6">
        <v>3</v>
      </c>
      <c r="H70" s="6" t="s">
        <v>104</v>
      </c>
      <c r="I70" s="6">
        <v>4</v>
      </c>
      <c r="K70" s="6">
        <v>1</v>
      </c>
      <c r="L70" s="6">
        <v>300</v>
      </c>
      <c r="M70" s="6">
        <v>3</v>
      </c>
      <c r="N70" s="6">
        <v>2</v>
      </c>
      <c r="O70" s="6" t="s">
        <v>122</v>
      </c>
      <c r="P70" s="6">
        <v>1</v>
      </c>
      <c r="Q70" s="6">
        <v>4409301</v>
      </c>
      <c r="U70" s="6">
        <v>0</v>
      </c>
      <c r="V70" s="6">
        <v>30000</v>
      </c>
      <c r="W70" s="6">
        <f t="shared" si="5"/>
        <v>320</v>
      </c>
      <c r="X70" s="6">
        <v>420</v>
      </c>
      <c r="Y70" s="6">
        <v>750</v>
      </c>
      <c r="Z70" s="6">
        <v>800</v>
      </c>
      <c r="AA70" s="6">
        <v>20000</v>
      </c>
      <c r="AC70" s="6">
        <v>2</v>
      </c>
      <c r="AD70" s="6">
        <v>1</v>
      </c>
      <c r="AE70" s="6" t="s">
        <v>239</v>
      </c>
      <c r="AF70" s="41"/>
      <c r="AH70" s="6">
        <v>5</v>
      </c>
      <c r="AI70" s="6">
        <v>2</v>
      </c>
      <c r="AJ70" s="6">
        <v>0</v>
      </c>
      <c r="AK70" s="6">
        <v>0</v>
      </c>
    </row>
    <row r="71" s="9" customFormat="1" spans="1:37">
      <c r="A71" s="3">
        <v>4410101</v>
      </c>
      <c r="B71" s="3">
        <v>4410101</v>
      </c>
      <c r="C71" s="9" t="s">
        <v>87</v>
      </c>
      <c r="D71" s="9" t="s">
        <v>240</v>
      </c>
      <c r="F71" s="9">
        <v>1</v>
      </c>
      <c r="G71" s="9">
        <v>1</v>
      </c>
      <c r="I71" s="9">
        <v>7</v>
      </c>
      <c r="J71" s="3" t="s">
        <v>241</v>
      </c>
      <c r="K71" s="9">
        <v>3</v>
      </c>
      <c r="L71" s="9">
        <v>350</v>
      </c>
      <c r="M71" s="9">
        <v>1</v>
      </c>
      <c r="N71" s="3">
        <v>1</v>
      </c>
      <c r="O71" s="3">
        <v>0</v>
      </c>
      <c r="P71" s="9">
        <v>1</v>
      </c>
      <c r="Q71" s="9">
        <v>4410101</v>
      </c>
      <c r="U71" s="9">
        <v>0</v>
      </c>
      <c r="V71" s="3">
        <v>10000</v>
      </c>
      <c r="W71" s="3">
        <v>570</v>
      </c>
      <c r="X71" s="9">
        <v>670</v>
      </c>
      <c r="Y71" s="15">
        <v>830</v>
      </c>
      <c r="Z71" s="15">
        <v>880</v>
      </c>
      <c r="AA71" s="3">
        <f>1000-Z71</f>
        <v>120</v>
      </c>
      <c r="AC71" s="9">
        <v>1</v>
      </c>
      <c r="AD71" s="3">
        <v>0</v>
      </c>
      <c r="AF71" s="50"/>
      <c r="AH71" s="3">
        <v>0</v>
      </c>
      <c r="AI71" s="3">
        <v>0</v>
      </c>
      <c r="AJ71" s="9">
        <v>0</v>
      </c>
      <c r="AK71" s="9">
        <v>0</v>
      </c>
    </row>
    <row r="72" s="6" customFormat="1" spans="1:37">
      <c r="A72" s="6">
        <v>4410201</v>
      </c>
      <c r="B72" s="6">
        <v>4410201</v>
      </c>
      <c r="C72" s="6" t="s">
        <v>242</v>
      </c>
      <c r="D72" s="6" t="s">
        <v>243</v>
      </c>
      <c r="E72" s="6">
        <v>4410201</v>
      </c>
      <c r="F72" s="6">
        <v>2</v>
      </c>
      <c r="G72" s="6">
        <v>1</v>
      </c>
      <c r="H72" s="6" t="s">
        <v>244</v>
      </c>
      <c r="I72" s="6">
        <v>2</v>
      </c>
      <c r="K72" s="6">
        <v>3</v>
      </c>
      <c r="L72" s="6">
        <v>350</v>
      </c>
      <c r="M72" s="6">
        <v>2</v>
      </c>
      <c r="N72" s="6">
        <v>3</v>
      </c>
      <c r="O72" s="6" t="s">
        <v>177</v>
      </c>
      <c r="P72" s="6">
        <v>10</v>
      </c>
      <c r="Q72" s="6">
        <v>4410201</v>
      </c>
      <c r="U72" s="6">
        <v>0</v>
      </c>
      <c r="V72" s="6">
        <v>10000</v>
      </c>
      <c r="W72" s="6">
        <v>570</v>
      </c>
      <c r="X72" s="6">
        <v>670</v>
      </c>
      <c r="Y72" s="6">
        <v>750</v>
      </c>
      <c r="Z72" s="6">
        <v>3700</v>
      </c>
      <c r="AA72" s="6">
        <v>30000</v>
      </c>
      <c r="AC72" s="6">
        <v>1</v>
      </c>
      <c r="AD72" s="6">
        <v>1</v>
      </c>
      <c r="AE72" s="4" t="s">
        <v>245</v>
      </c>
      <c r="AF72" s="41"/>
      <c r="AH72" s="6">
        <v>0</v>
      </c>
      <c r="AI72" s="6">
        <v>0</v>
      </c>
      <c r="AJ72" s="6">
        <v>0</v>
      </c>
      <c r="AK72" s="6">
        <v>0</v>
      </c>
    </row>
    <row r="73" s="6" customFormat="1" spans="1:37">
      <c r="A73" s="6">
        <v>4410202</v>
      </c>
      <c r="B73" s="6">
        <v>4410201</v>
      </c>
      <c r="C73" s="6" t="s">
        <v>242</v>
      </c>
      <c r="D73" s="6" t="s">
        <v>243</v>
      </c>
      <c r="E73" s="6">
        <v>4410201</v>
      </c>
      <c r="F73" s="6">
        <v>2</v>
      </c>
      <c r="G73" s="6">
        <v>2</v>
      </c>
      <c r="H73" s="6" t="s">
        <v>246</v>
      </c>
      <c r="I73" s="6">
        <v>2</v>
      </c>
      <c r="K73" s="6">
        <v>3</v>
      </c>
      <c r="L73" s="6">
        <v>350</v>
      </c>
      <c r="M73" s="6">
        <v>2</v>
      </c>
      <c r="N73" s="6">
        <v>3</v>
      </c>
      <c r="O73" s="6" t="s">
        <v>177</v>
      </c>
      <c r="P73" s="6">
        <v>10</v>
      </c>
      <c r="Q73" s="6">
        <v>4410201</v>
      </c>
      <c r="U73" s="6">
        <v>0</v>
      </c>
      <c r="V73" s="6">
        <v>10000</v>
      </c>
      <c r="W73" s="6">
        <v>570</v>
      </c>
      <c r="X73" s="6">
        <v>670</v>
      </c>
      <c r="Y73" s="6">
        <v>750</v>
      </c>
      <c r="Z73" s="6">
        <v>3700</v>
      </c>
      <c r="AA73" s="6">
        <v>25000</v>
      </c>
      <c r="AC73" s="6">
        <v>1</v>
      </c>
      <c r="AD73" s="6">
        <v>1</v>
      </c>
      <c r="AE73" s="4" t="s">
        <v>245</v>
      </c>
      <c r="AF73" s="41"/>
      <c r="AH73" s="6">
        <v>0</v>
      </c>
      <c r="AI73" s="6">
        <v>0</v>
      </c>
      <c r="AJ73" s="6">
        <v>0</v>
      </c>
      <c r="AK73" s="6">
        <v>0</v>
      </c>
    </row>
    <row r="74" s="6" customFormat="1" spans="1:37">
      <c r="A74" s="6">
        <v>4410203</v>
      </c>
      <c r="B74" s="6">
        <v>4410201</v>
      </c>
      <c r="C74" s="6" t="s">
        <v>242</v>
      </c>
      <c r="D74" s="6" t="s">
        <v>243</v>
      </c>
      <c r="E74" s="6">
        <v>4410201</v>
      </c>
      <c r="F74" s="6">
        <v>2</v>
      </c>
      <c r="G74" s="6">
        <v>3</v>
      </c>
      <c r="H74" s="6" t="s">
        <v>247</v>
      </c>
      <c r="I74" s="6">
        <v>2</v>
      </c>
      <c r="K74" s="6">
        <v>3</v>
      </c>
      <c r="L74" s="6">
        <v>350</v>
      </c>
      <c r="M74" s="6">
        <v>2</v>
      </c>
      <c r="N74" s="6">
        <v>3</v>
      </c>
      <c r="O74" s="6" t="s">
        <v>177</v>
      </c>
      <c r="P74" s="6">
        <v>10</v>
      </c>
      <c r="Q74" s="6">
        <v>4410201</v>
      </c>
      <c r="U74" s="6">
        <v>0</v>
      </c>
      <c r="V74" s="6">
        <v>10000</v>
      </c>
      <c r="W74" s="6">
        <v>570</v>
      </c>
      <c r="X74" s="6">
        <v>670</v>
      </c>
      <c r="Y74" s="6">
        <v>750</v>
      </c>
      <c r="Z74" s="6">
        <v>3700</v>
      </c>
      <c r="AA74" s="6">
        <v>20000</v>
      </c>
      <c r="AC74" s="6">
        <v>1</v>
      </c>
      <c r="AD74" s="6">
        <v>1</v>
      </c>
      <c r="AE74" s="4" t="s">
        <v>245</v>
      </c>
      <c r="AF74" s="41"/>
      <c r="AH74" s="6">
        <v>0</v>
      </c>
      <c r="AI74" s="6">
        <v>0</v>
      </c>
      <c r="AJ74" s="6">
        <v>0</v>
      </c>
      <c r="AK74" s="6">
        <v>0</v>
      </c>
    </row>
    <row r="75" s="6" customFormat="1" spans="1:37">
      <c r="A75" s="6">
        <v>4410301</v>
      </c>
      <c r="B75" s="6">
        <v>4410301</v>
      </c>
      <c r="C75" s="6" t="s">
        <v>248</v>
      </c>
      <c r="D75" s="6" t="s">
        <v>249</v>
      </c>
      <c r="E75" s="6">
        <v>4410301</v>
      </c>
      <c r="F75" s="6">
        <v>2</v>
      </c>
      <c r="G75" s="6">
        <v>1</v>
      </c>
      <c r="H75" s="6" t="s">
        <v>250</v>
      </c>
      <c r="I75" s="6">
        <v>2</v>
      </c>
      <c r="K75" s="6">
        <v>3</v>
      </c>
      <c r="L75" s="6">
        <v>500</v>
      </c>
      <c r="M75" s="6">
        <v>3</v>
      </c>
      <c r="N75" s="6">
        <v>2</v>
      </c>
      <c r="O75" s="6" t="s">
        <v>251</v>
      </c>
      <c r="P75" s="6">
        <v>10</v>
      </c>
      <c r="Q75" s="6">
        <v>4410301</v>
      </c>
      <c r="U75" s="6">
        <v>0</v>
      </c>
      <c r="V75" s="6">
        <v>10000</v>
      </c>
      <c r="W75" s="6">
        <v>70</v>
      </c>
      <c r="X75" s="6">
        <v>170</v>
      </c>
      <c r="Y75" s="6">
        <v>2170</v>
      </c>
      <c r="Z75" s="6">
        <v>4500</v>
      </c>
      <c r="AA75" s="6">
        <v>30000</v>
      </c>
      <c r="AC75" s="6">
        <v>1</v>
      </c>
      <c r="AD75" s="6">
        <v>1</v>
      </c>
      <c r="AE75" s="6" t="s">
        <v>252</v>
      </c>
      <c r="AF75" s="41"/>
      <c r="AH75" s="6">
        <v>0</v>
      </c>
      <c r="AI75" s="6">
        <v>0</v>
      </c>
      <c r="AJ75" s="6">
        <v>0</v>
      </c>
      <c r="AK75" s="6">
        <v>0</v>
      </c>
    </row>
    <row r="76" s="6" customFormat="1" spans="1:37">
      <c r="A76" s="6">
        <v>4410302</v>
      </c>
      <c r="B76" s="6">
        <v>4410301</v>
      </c>
      <c r="C76" s="6" t="s">
        <v>248</v>
      </c>
      <c r="D76" s="6" t="s">
        <v>249</v>
      </c>
      <c r="E76" s="6">
        <v>4410301</v>
      </c>
      <c r="F76" s="6">
        <v>2</v>
      </c>
      <c r="G76" s="6">
        <v>2</v>
      </c>
      <c r="H76" s="6" t="s">
        <v>125</v>
      </c>
      <c r="I76" s="6">
        <v>2</v>
      </c>
      <c r="K76" s="6">
        <v>3</v>
      </c>
      <c r="L76" s="6">
        <v>500</v>
      </c>
      <c r="M76" s="6">
        <v>3</v>
      </c>
      <c r="N76" s="6">
        <v>2</v>
      </c>
      <c r="O76" s="6" t="s">
        <v>251</v>
      </c>
      <c r="P76" s="6">
        <v>10</v>
      </c>
      <c r="Q76" s="6">
        <v>4410301</v>
      </c>
      <c r="U76" s="6">
        <v>0</v>
      </c>
      <c r="V76" s="6">
        <v>10000</v>
      </c>
      <c r="W76" s="6">
        <v>70</v>
      </c>
      <c r="X76" s="6">
        <v>170</v>
      </c>
      <c r="Y76" s="6">
        <v>2170</v>
      </c>
      <c r="Z76" s="6">
        <v>4500</v>
      </c>
      <c r="AA76" s="6">
        <v>30000</v>
      </c>
      <c r="AC76" s="6">
        <v>1</v>
      </c>
      <c r="AD76" s="6">
        <v>1</v>
      </c>
      <c r="AE76" s="6" t="s">
        <v>252</v>
      </c>
      <c r="AF76" s="41"/>
      <c r="AH76" s="6">
        <v>0</v>
      </c>
      <c r="AI76" s="6">
        <v>0</v>
      </c>
      <c r="AJ76" s="6">
        <v>0</v>
      </c>
      <c r="AK76" s="6">
        <v>0</v>
      </c>
    </row>
    <row r="77" s="6" customFormat="1" spans="1:37">
      <c r="A77" s="6">
        <v>4410303</v>
      </c>
      <c r="B77" s="6">
        <v>4410301</v>
      </c>
      <c r="C77" s="6" t="s">
        <v>248</v>
      </c>
      <c r="D77" s="6" t="s">
        <v>249</v>
      </c>
      <c r="E77" s="6">
        <v>4410301</v>
      </c>
      <c r="F77" s="6">
        <v>2</v>
      </c>
      <c r="G77" s="6">
        <v>3</v>
      </c>
      <c r="H77" s="6" t="s">
        <v>125</v>
      </c>
      <c r="I77" s="6">
        <v>2</v>
      </c>
      <c r="K77" s="6">
        <v>3</v>
      </c>
      <c r="L77" s="6">
        <v>500</v>
      </c>
      <c r="M77" s="6">
        <v>3</v>
      </c>
      <c r="N77" s="6">
        <v>2</v>
      </c>
      <c r="O77" s="6" t="s">
        <v>251</v>
      </c>
      <c r="P77" s="6">
        <v>10</v>
      </c>
      <c r="Q77" s="6">
        <v>4410301</v>
      </c>
      <c r="U77" s="6">
        <v>0</v>
      </c>
      <c r="V77" s="6">
        <v>10000</v>
      </c>
      <c r="W77" s="6">
        <v>70</v>
      </c>
      <c r="X77" s="6">
        <v>170</v>
      </c>
      <c r="Y77" s="6">
        <v>2170</v>
      </c>
      <c r="Z77" s="6">
        <v>4500</v>
      </c>
      <c r="AA77" s="6">
        <v>30000</v>
      </c>
      <c r="AC77" s="6">
        <v>1</v>
      </c>
      <c r="AD77" s="6">
        <v>1</v>
      </c>
      <c r="AE77" s="6" t="s">
        <v>252</v>
      </c>
      <c r="AF77" s="41"/>
      <c r="AH77" s="6">
        <v>0</v>
      </c>
      <c r="AI77" s="6">
        <v>0</v>
      </c>
      <c r="AJ77" s="6">
        <v>0</v>
      </c>
      <c r="AK77" s="6">
        <v>0</v>
      </c>
    </row>
    <row r="78" s="3" customFormat="1" spans="1:37">
      <c r="A78" s="3">
        <v>4411101</v>
      </c>
      <c r="B78" s="3">
        <v>4411101</v>
      </c>
      <c r="C78" s="3" t="s">
        <v>87</v>
      </c>
      <c r="D78" s="3" t="s">
        <v>253</v>
      </c>
      <c r="F78" s="3">
        <v>1</v>
      </c>
      <c r="G78" s="3">
        <v>1</v>
      </c>
      <c r="I78" s="3">
        <v>7</v>
      </c>
      <c r="J78" s="3" t="s">
        <v>254</v>
      </c>
      <c r="K78" s="3">
        <v>3</v>
      </c>
      <c r="L78" s="3">
        <v>350</v>
      </c>
      <c r="M78" s="3">
        <v>1</v>
      </c>
      <c r="N78" s="3">
        <v>1</v>
      </c>
      <c r="O78" s="3">
        <v>0</v>
      </c>
      <c r="P78" s="3">
        <v>1</v>
      </c>
      <c r="Q78" s="3">
        <v>4411101</v>
      </c>
      <c r="U78" s="9">
        <v>0</v>
      </c>
      <c r="V78" s="3">
        <v>10000</v>
      </c>
      <c r="W78" s="3">
        <f t="shared" ref="W78:W80" si="6">X78-100</f>
        <v>380</v>
      </c>
      <c r="X78" s="3">
        <v>480</v>
      </c>
      <c r="Y78" s="3">
        <v>540</v>
      </c>
      <c r="Z78" s="3">
        <v>800</v>
      </c>
      <c r="AA78" s="3">
        <f>1000-Z78</f>
        <v>200</v>
      </c>
      <c r="AC78" s="3">
        <v>2</v>
      </c>
      <c r="AD78" s="3">
        <v>0</v>
      </c>
      <c r="AF78" s="41"/>
      <c r="AH78" s="3">
        <v>0</v>
      </c>
      <c r="AI78" s="3">
        <v>0</v>
      </c>
      <c r="AJ78" s="3">
        <v>0</v>
      </c>
      <c r="AK78" s="3">
        <v>0</v>
      </c>
    </row>
    <row r="79" s="5" customFormat="1" spans="1:37">
      <c r="A79" s="5">
        <v>4411201</v>
      </c>
      <c r="B79" s="5">
        <v>4411201</v>
      </c>
      <c r="C79" s="5" t="s">
        <v>255</v>
      </c>
      <c r="D79" s="5" t="s">
        <v>256</v>
      </c>
      <c r="E79" s="29">
        <v>4411201</v>
      </c>
      <c r="F79" s="5">
        <v>2</v>
      </c>
      <c r="G79" s="5">
        <v>1</v>
      </c>
      <c r="H79" s="5" t="s">
        <v>257</v>
      </c>
      <c r="I79" s="5">
        <v>7</v>
      </c>
      <c r="J79" s="5" t="s">
        <v>258</v>
      </c>
      <c r="K79" s="5">
        <v>3</v>
      </c>
      <c r="L79" s="5">
        <v>350</v>
      </c>
      <c r="M79" s="5">
        <v>2</v>
      </c>
      <c r="N79" s="5">
        <v>1</v>
      </c>
      <c r="O79" s="5">
        <v>0</v>
      </c>
      <c r="P79" s="5">
        <v>10</v>
      </c>
      <c r="Q79" s="5">
        <v>4411201</v>
      </c>
      <c r="U79" s="29">
        <v>0</v>
      </c>
      <c r="V79" s="5">
        <v>5000</v>
      </c>
      <c r="W79" s="4">
        <v>1650</v>
      </c>
      <c r="X79" s="5" t="s">
        <v>259</v>
      </c>
      <c r="Y79" s="5">
        <v>2920</v>
      </c>
      <c r="Z79" s="4">
        <v>3220</v>
      </c>
      <c r="AA79" s="5">
        <v>-1</v>
      </c>
      <c r="AB79" s="5" t="s">
        <v>186</v>
      </c>
      <c r="AC79" s="5">
        <v>2</v>
      </c>
      <c r="AD79" s="3">
        <v>0</v>
      </c>
      <c r="AF79" s="41"/>
      <c r="AH79" s="6">
        <v>0</v>
      </c>
      <c r="AI79" s="6">
        <v>0</v>
      </c>
      <c r="AJ79" s="5">
        <v>0</v>
      </c>
      <c r="AK79" s="29">
        <v>0</v>
      </c>
    </row>
    <row r="80" s="5" customFormat="1" spans="1:37">
      <c r="A80" s="5">
        <v>4411202</v>
      </c>
      <c r="B80" s="5">
        <v>4411201</v>
      </c>
      <c r="C80" s="5" t="s">
        <v>255</v>
      </c>
      <c r="D80" s="5" t="s">
        <v>256</v>
      </c>
      <c r="E80" s="29">
        <v>4411201</v>
      </c>
      <c r="F80" s="5">
        <v>2</v>
      </c>
      <c r="G80" s="5">
        <v>2</v>
      </c>
      <c r="H80" s="5" t="s">
        <v>260</v>
      </c>
      <c r="I80" s="5">
        <v>7</v>
      </c>
      <c r="J80" s="5" t="s">
        <v>258</v>
      </c>
      <c r="K80" s="5">
        <v>3</v>
      </c>
      <c r="L80" s="5">
        <v>350</v>
      </c>
      <c r="M80" s="5">
        <v>2</v>
      </c>
      <c r="N80" s="5">
        <v>1</v>
      </c>
      <c r="O80" s="5">
        <v>0</v>
      </c>
      <c r="P80" s="5">
        <v>10</v>
      </c>
      <c r="Q80" s="5">
        <v>4411201</v>
      </c>
      <c r="U80" s="29">
        <v>0</v>
      </c>
      <c r="V80" s="5">
        <v>5000</v>
      </c>
      <c r="W80" s="4">
        <v>1650</v>
      </c>
      <c r="X80" s="5" t="s">
        <v>259</v>
      </c>
      <c r="Y80" s="5">
        <v>2920</v>
      </c>
      <c r="Z80" s="4">
        <v>3220</v>
      </c>
      <c r="AA80" s="5">
        <v>-1</v>
      </c>
      <c r="AB80" s="5" t="s">
        <v>186</v>
      </c>
      <c r="AC80" s="5">
        <v>2</v>
      </c>
      <c r="AD80" s="5">
        <v>1</v>
      </c>
      <c r="AE80" s="5" t="s">
        <v>261</v>
      </c>
      <c r="AF80" s="41"/>
      <c r="AH80" s="6">
        <v>0</v>
      </c>
      <c r="AI80" s="6">
        <v>0</v>
      </c>
      <c r="AJ80" s="5">
        <v>0</v>
      </c>
      <c r="AK80" s="5">
        <v>0</v>
      </c>
    </row>
    <row r="81" s="5" customFormat="1" spans="1:37">
      <c r="A81" s="5">
        <v>4411203</v>
      </c>
      <c r="B81" s="5">
        <v>4411201</v>
      </c>
      <c r="C81" s="5" t="s">
        <v>255</v>
      </c>
      <c r="D81" s="5" t="s">
        <v>256</v>
      </c>
      <c r="E81" s="29">
        <v>4411201</v>
      </c>
      <c r="F81" s="5">
        <v>2</v>
      </c>
      <c r="G81" s="5">
        <v>3</v>
      </c>
      <c r="H81" s="5" t="s">
        <v>262</v>
      </c>
      <c r="I81" s="5">
        <v>7</v>
      </c>
      <c r="J81" s="5" t="s">
        <v>258</v>
      </c>
      <c r="K81" s="5">
        <v>3</v>
      </c>
      <c r="L81" s="5">
        <v>350</v>
      </c>
      <c r="M81" s="5">
        <v>2</v>
      </c>
      <c r="N81" s="5">
        <v>1</v>
      </c>
      <c r="O81" s="5">
        <v>0</v>
      </c>
      <c r="P81" s="5">
        <v>10</v>
      </c>
      <c r="Q81" s="5">
        <v>4411201</v>
      </c>
      <c r="U81" s="29">
        <v>0</v>
      </c>
      <c r="V81" s="5">
        <v>5000</v>
      </c>
      <c r="W81" s="4">
        <v>1650</v>
      </c>
      <c r="X81" s="5" t="s">
        <v>259</v>
      </c>
      <c r="Y81" s="5">
        <v>2920</v>
      </c>
      <c r="Z81" s="4">
        <v>3220</v>
      </c>
      <c r="AA81" s="5">
        <v>-1</v>
      </c>
      <c r="AB81" s="5" t="s">
        <v>186</v>
      </c>
      <c r="AC81" s="5">
        <v>2</v>
      </c>
      <c r="AD81" s="5">
        <v>1</v>
      </c>
      <c r="AE81" s="5" t="s">
        <v>261</v>
      </c>
      <c r="AF81" s="41"/>
      <c r="AH81" s="6">
        <v>0</v>
      </c>
      <c r="AI81" s="6">
        <v>0</v>
      </c>
      <c r="AJ81" s="5">
        <v>0</v>
      </c>
      <c r="AK81" s="29">
        <v>0</v>
      </c>
    </row>
    <row r="82" s="5" customFormat="1" spans="1:37">
      <c r="A82" s="5">
        <v>4411301</v>
      </c>
      <c r="B82" s="5">
        <v>4411301</v>
      </c>
      <c r="C82" s="5" t="s">
        <v>263</v>
      </c>
      <c r="D82" s="5" t="s">
        <v>264</v>
      </c>
      <c r="E82" s="29">
        <v>4411301</v>
      </c>
      <c r="F82" s="5">
        <v>2</v>
      </c>
      <c r="G82" s="5">
        <v>1</v>
      </c>
      <c r="H82" s="5" t="s">
        <v>265</v>
      </c>
      <c r="I82" s="5">
        <v>2</v>
      </c>
      <c r="K82" s="5">
        <v>3</v>
      </c>
      <c r="L82" s="5">
        <v>350</v>
      </c>
      <c r="M82" s="5">
        <v>3</v>
      </c>
      <c r="N82" s="5">
        <v>2</v>
      </c>
      <c r="O82" s="5" t="s">
        <v>122</v>
      </c>
      <c r="P82" s="5">
        <v>20</v>
      </c>
      <c r="Q82" s="5">
        <v>-1</v>
      </c>
      <c r="R82" s="5" t="s">
        <v>266</v>
      </c>
      <c r="U82" s="29">
        <v>0</v>
      </c>
      <c r="V82" s="5">
        <v>20000</v>
      </c>
      <c r="W82" s="4">
        <v>230</v>
      </c>
      <c r="X82" s="5" t="s">
        <v>267</v>
      </c>
      <c r="Y82" s="5">
        <v>3170</v>
      </c>
      <c r="Z82" s="4">
        <v>3250</v>
      </c>
      <c r="AA82" s="5">
        <v>22000</v>
      </c>
      <c r="AC82" s="5">
        <v>1</v>
      </c>
      <c r="AD82" s="3">
        <v>0</v>
      </c>
      <c r="AF82" s="41"/>
      <c r="AH82" s="6">
        <v>0</v>
      </c>
      <c r="AI82" s="6">
        <v>0</v>
      </c>
      <c r="AJ82" s="5">
        <v>0</v>
      </c>
      <c r="AK82" s="5">
        <v>0</v>
      </c>
    </row>
    <row r="83" s="5" customFormat="1" spans="1:37">
      <c r="A83" s="5">
        <v>4411302</v>
      </c>
      <c r="B83" s="5">
        <v>4411301</v>
      </c>
      <c r="C83" s="5" t="s">
        <v>263</v>
      </c>
      <c r="D83" s="5" t="s">
        <v>264</v>
      </c>
      <c r="E83" s="29">
        <v>4411301</v>
      </c>
      <c r="F83" s="5">
        <v>2</v>
      </c>
      <c r="G83" s="5">
        <v>2</v>
      </c>
      <c r="H83" s="5" t="s">
        <v>260</v>
      </c>
      <c r="I83" s="5">
        <v>2</v>
      </c>
      <c r="K83" s="5">
        <v>3</v>
      </c>
      <c r="L83" s="5">
        <v>350</v>
      </c>
      <c r="M83" s="5">
        <v>3</v>
      </c>
      <c r="N83" s="5">
        <v>2</v>
      </c>
      <c r="O83" s="5" t="s">
        <v>122</v>
      </c>
      <c r="P83" s="5">
        <v>20</v>
      </c>
      <c r="Q83" s="5">
        <v>-1</v>
      </c>
      <c r="R83" s="5" t="s">
        <v>266</v>
      </c>
      <c r="U83" s="29">
        <v>0</v>
      </c>
      <c r="V83" s="5">
        <v>20000</v>
      </c>
      <c r="W83" s="4">
        <v>230</v>
      </c>
      <c r="X83" s="5" t="s">
        <v>267</v>
      </c>
      <c r="Y83" s="5">
        <v>3170</v>
      </c>
      <c r="Z83" s="4">
        <v>3250</v>
      </c>
      <c r="AA83" s="5">
        <v>22000</v>
      </c>
      <c r="AC83" s="5">
        <v>1</v>
      </c>
      <c r="AD83" s="5">
        <v>1</v>
      </c>
      <c r="AE83" s="5" t="s">
        <v>261</v>
      </c>
      <c r="AF83" s="41"/>
      <c r="AH83" s="6">
        <v>0</v>
      </c>
      <c r="AI83" s="6">
        <v>0</v>
      </c>
      <c r="AJ83" s="5">
        <v>0</v>
      </c>
      <c r="AK83" s="29">
        <v>0</v>
      </c>
    </row>
    <row r="84" s="5" customFormat="1" spans="1:37">
      <c r="A84" s="5">
        <v>4411303</v>
      </c>
      <c r="B84" s="5">
        <v>4411301</v>
      </c>
      <c r="C84" s="5" t="s">
        <v>263</v>
      </c>
      <c r="D84" s="5" t="s">
        <v>264</v>
      </c>
      <c r="E84" s="29">
        <v>4411301</v>
      </c>
      <c r="F84" s="5">
        <v>2</v>
      </c>
      <c r="G84" s="5">
        <v>3</v>
      </c>
      <c r="H84" s="5" t="s">
        <v>125</v>
      </c>
      <c r="I84" s="5">
        <v>2</v>
      </c>
      <c r="K84" s="5">
        <v>3</v>
      </c>
      <c r="L84" s="5">
        <v>350</v>
      </c>
      <c r="M84" s="5">
        <v>3</v>
      </c>
      <c r="N84" s="5">
        <v>2</v>
      </c>
      <c r="O84" s="5" t="s">
        <v>122</v>
      </c>
      <c r="P84" s="5">
        <v>20</v>
      </c>
      <c r="Q84" s="5">
        <v>-1</v>
      </c>
      <c r="R84" s="5" t="s">
        <v>266</v>
      </c>
      <c r="U84" s="29">
        <v>0</v>
      </c>
      <c r="V84" s="5">
        <v>20000</v>
      </c>
      <c r="W84" s="4">
        <v>230</v>
      </c>
      <c r="X84" s="5" t="s">
        <v>267</v>
      </c>
      <c r="Y84" s="5">
        <v>3170</v>
      </c>
      <c r="Z84" s="4">
        <v>3250</v>
      </c>
      <c r="AA84" s="5">
        <v>17000</v>
      </c>
      <c r="AC84" s="5">
        <v>1</v>
      </c>
      <c r="AD84" s="5">
        <v>1</v>
      </c>
      <c r="AE84" s="5" t="s">
        <v>261</v>
      </c>
      <c r="AF84" s="41"/>
      <c r="AH84" s="6">
        <v>0</v>
      </c>
      <c r="AI84" s="6">
        <v>0</v>
      </c>
      <c r="AJ84" s="5">
        <v>0</v>
      </c>
      <c r="AK84" s="5">
        <v>0</v>
      </c>
    </row>
    <row r="85" s="3" customFormat="1" spans="1:37">
      <c r="A85" s="3">
        <v>4412101</v>
      </c>
      <c r="B85" s="3">
        <v>4412101</v>
      </c>
      <c r="C85" s="3" t="s">
        <v>87</v>
      </c>
      <c r="D85" s="3" t="s">
        <v>268</v>
      </c>
      <c r="F85" s="3">
        <v>1</v>
      </c>
      <c r="G85" s="3">
        <v>1</v>
      </c>
      <c r="I85" s="3">
        <v>2</v>
      </c>
      <c r="J85" s="5">
        <v>2</v>
      </c>
      <c r="K85" s="3">
        <v>2</v>
      </c>
      <c r="L85" s="3">
        <v>350</v>
      </c>
      <c r="M85" s="3">
        <v>1</v>
      </c>
      <c r="N85" s="3">
        <v>6</v>
      </c>
      <c r="O85" s="3">
        <v>0</v>
      </c>
      <c r="P85" s="3">
        <v>1</v>
      </c>
      <c r="Q85" s="3">
        <v>4412101</v>
      </c>
      <c r="U85" s="3">
        <v>0</v>
      </c>
      <c r="V85" s="3">
        <v>0</v>
      </c>
      <c r="W85" s="3">
        <f>X85-100</f>
        <v>400</v>
      </c>
      <c r="X85" s="3">
        <v>500</v>
      </c>
      <c r="Y85" s="3">
        <v>580</v>
      </c>
      <c r="Z85" s="3">
        <v>630</v>
      </c>
      <c r="AA85" s="3">
        <v>450</v>
      </c>
      <c r="AC85" s="3">
        <v>2</v>
      </c>
      <c r="AD85" s="3">
        <v>0</v>
      </c>
      <c r="AF85" s="41"/>
      <c r="AH85" s="3">
        <v>0</v>
      </c>
      <c r="AI85" s="3">
        <v>0</v>
      </c>
      <c r="AJ85" s="3">
        <v>0</v>
      </c>
      <c r="AK85" s="3">
        <v>0</v>
      </c>
    </row>
    <row r="86" s="4" customFormat="1" spans="1:37">
      <c r="A86" s="4">
        <v>4412201</v>
      </c>
      <c r="B86" s="4">
        <v>4412201</v>
      </c>
      <c r="C86" s="4" t="s">
        <v>269</v>
      </c>
      <c r="D86" s="4" t="s">
        <v>270</v>
      </c>
      <c r="E86" s="4">
        <v>4413201</v>
      </c>
      <c r="F86" s="4">
        <v>2</v>
      </c>
      <c r="G86" s="4">
        <v>1</v>
      </c>
      <c r="H86" s="4" t="s">
        <v>271</v>
      </c>
      <c r="I86" s="4">
        <v>3</v>
      </c>
      <c r="J86" s="4">
        <v>1</v>
      </c>
      <c r="K86" s="4">
        <v>2</v>
      </c>
      <c r="L86" s="4">
        <v>350</v>
      </c>
      <c r="M86" s="4">
        <v>2</v>
      </c>
      <c r="N86" s="4">
        <v>6</v>
      </c>
      <c r="O86" s="4">
        <v>0</v>
      </c>
      <c r="P86" s="4">
        <v>1</v>
      </c>
      <c r="Q86" s="4">
        <v>4412201</v>
      </c>
      <c r="U86" s="4">
        <v>0</v>
      </c>
      <c r="V86" s="4">
        <v>10000</v>
      </c>
      <c r="W86" s="4">
        <f t="shared" ref="W86:W106" si="7">X86-100</f>
        <v>400</v>
      </c>
      <c r="X86" s="4">
        <v>500</v>
      </c>
      <c r="Y86" s="4">
        <v>580</v>
      </c>
      <c r="Z86" s="4">
        <v>630</v>
      </c>
      <c r="AA86" s="4">
        <v>450</v>
      </c>
      <c r="AC86" s="4">
        <v>2</v>
      </c>
      <c r="AD86" s="3">
        <v>0</v>
      </c>
      <c r="AF86" s="41"/>
      <c r="AH86" s="6">
        <v>0</v>
      </c>
      <c r="AI86" s="6">
        <v>0</v>
      </c>
      <c r="AJ86" s="4">
        <v>0</v>
      </c>
      <c r="AK86" s="4">
        <v>0</v>
      </c>
    </row>
    <row r="87" s="4" customFormat="1" spans="1:37">
      <c r="A87" s="4">
        <v>4412202</v>
      </c>
      <c r="B87" s="4">
        <v>4412201</v>
      </c>
      <c r="C87" s="4" t="s">
        <v>269</v>
      </c>
      <c r="D87" s="4" t="s">
        <v>270</v>
      </c>
      <c r="E87" s="4">
        <v>4413201</v>
      </c>
      <c r="F87" s="4">
        <v>2</v>
      </c>
      <c r="G87" s="4">
        <v>2</v>
      </c>
      <c r="H87" s="4" t="s">
        <v>272</v>
      </c>
      <c r="I87" s="4">
        <v>3</v>
      </c>
      <c r="J87" s="4">
        <v>1</v>
      </c>
      <c r="K87" s="4">
        <v>2</v>
      </c>
      <c r="L87" s="4">
        <v>350</v>
      </c>
      <c r="M87" s="4">
        <v>2</v>
      </c>
      <c r="N87" s="4">
        <v>6</v>
      </c>
      <c r="O87" s="4">
        <v>0</v>
      </c>
      <c r="P87" s="4">
        <v>1</v>
      </c>
      <c r="Q87" s="4">
        <v>4412201</v>
      </c>
      <c r="U87" s="4">
        <v>0</v>
      </c>
      <c r="V87" s="4">
        <v>10000</v>
      </c>
      <c r="W87" s="4">
        <f t="shared" si="7"/>
        <v>400</v>
      </c>
      <c r="X87" s="4">
        <v>500</v>
      </c>
      <c r="Y87" s="4">
        <v>580</v>
      </c>
      <c r="Z87" s="4">
        <v>630</v>
      </c>
      <c r="AA87" s="4">
        <v>450</v>
      </c>
      <c r="AC87" s="4">
        <v>2</v>
      </c>
      <c r="AD87" s="3">
        <v>0</v>
      </c>
      <c r="AF87" s="41"/>
      <c r="AH87" s="6">
        <v>0</v>
      </c>
      <c r="AI87" s="6">
        <v>0</v>
      </c>
      <c r="AJ87" s="4">
        <v>0</v>
      </c>
      <c r="AK87" s="4">
        <v>0</v>
      </c>
    </row>
    <row r="88" s="4" customFormat="1" spans="1:37">
      <c r="A88" s="4">
        <v>4412203</v>
      </c>
      <c r="B88" s="4">
        <v>4412201</v>
      </c>
      <c r="C88" s="4" t="s">
        <v>269</v>
      </c>
      <c r="D88" s="4" t="s">
        <v>270</v>
      </c>
      <c r="E88" s="4">
        <v>4413201</v>
      </c>
      <c r="F88" s="4">
        <v>2</v>
      </c>
      <c r="G88" s="4">
        <v>3</v>
      </c>
      <c r="H88" s="4" t="s">
        <v>273</v>
      </c>
      <c r="I88" s="4">
        <v>3</v>
      </c>
      <c r="J88" s="4">
        <v>1</v>
      </c>
      <c r="K88" s="4">
        <v>2</v>
      </c>
      <c r="L88" s="4">
        <v>350</v>
      </c>
      <c r="M88" s="4">
        <v>2</v>
      </c>
      <c r="N88" s="4">
        <v>6</v>
      </c>
      <c r="O88" s="4">
        <v>0</v>
      </c>
      <c r="P88" s="4">
        <v>1</v>
      </c>
      <c r="Q88" s="4">
        <v>4412201</v>
      </c>
      <c r="U88" s="4">
        <v>0</v>
      </c>
      <c r="V88" s="4">
        <v>10000</v>
      </c>
      <c r="W88" s="4">
        <f t="shared" si="7"/>
        <v>400</v>
      </c>
      <c r="X88" s="4">
        <v>500</v>
      </c>
      <c r="Y88" s="4">
        <v>580</v>
      </c>
      <c r="Z88" s="4">
        <v>630</v>
      </c>
      <c r="AA88" s="4">
        <v>450</v>
      </c>
      <c r="AC88" s="4">
        <v>2</v>
      </c>
      <c r="AD88" s="3">
        <v>0</v>
      </c>
      <c r="AF88" s="41"/>
      <c r="AH88" s="6">
        <v>0</v>
      </c>
      <c r="AI88" s="6">
        <v>0</v>
      </c>
      <c r="AJ88" s="4">
        <v>0</v>
      </c>
      <c r="AK88" s="4">
        <v>0</v>
      </c>
    </row>
    <row r="89" s="4" customFormat="1" spans="1:37">
      <c r="A89" s="4">
        <v>4412301</v>
      </c>
      <c r="B89" s="4">
        <v>4412301</v>
      </c>
      <c r="C89" s="4" t="s">
        <v>274</v>
      </c>
      <c r="D89" s="4" t="s">
        <v>275</v>
      </c>
      <c r="E89" s="4">
        <v>4413301</v>
      </c>
      <c r="F89" s="4">
        <v>2</v>
      </c>
      <c r="G89" s="4">
        <v>1</v>
      </c>
      <c r="H89" s="4" t="s">
        <v>276</v>
      </c>
      <c r="I89" s="4">
        <v>5</v>
      </c>
      <c r="J89" s="4">
        <v>2</v>
      </c>
      <c r="K89" s="4">
        <v>2</v>
      </c>
      <c r="L89" s="4">
        <v>350</v>
      </c>
      <c r="M89" s="4">
        <v>3</v>
      </c>
      <c r="N89" s="4">
        <v>7</v>
      </c>
      <c r="O89" s="4">
        <v>0</v>
      </c>
      <c r="P89" s="4">
        <v>1</v>
      </c>
      <c r="Q89" s="4">
        <v>4412301</v>
      </c>
      <c r="U89" s="4">
        <v>0</v>
      </c>
      <c r="V89" s="4">
        <v>3000</v>
      </c>
      <c r="W89" s="4">
        <f t="shared" si="7"/>
        <v>1150</v>
      </c>
      <c r="X89" s="4">
        <v>1250</v>
      </c>
      <c r="Y89" s="4">
        <v>1580</v>
      </c>
      <c r="Z89" s="4">
        <v>1630</v>
      </c>
      <c r="AA89" s="4">
        <v>30000</v>
      </c>
      <c r="AC89" s="4">
        <v>2</v>
      </c>
      <c r="AD89" s="3">
        <v>0</v>
      </c>
      <c r="AF89" s="41"/>
      <c r="AH89" s="6">
        <v>0</v>
      </c>
      <c r="AI89" s="6">
        <v>0</v>
      </c>
      <c r="AJ89" s="4">
        <v>0</v>
      </c>
      <c r="AK89" s="4">
        <v>0</v>
      </c>
    </row>
    <row r="90" s="4" customFormat="1" spans="1:37">
      <c r="A90" s="4">
        <v>4412302</v>
      </c>
      <c r="B90" s="4">
        <v>4412301</v>
      </c>
      <c r="C90" s="4" t="s">
        <v>274</v>
      </c>
      <c r="D90" s="4" t="s">
        <v>275</v>
      </c>
      <c r="E90" s="4">
        <v>4413301</v>
      </c>
      <c r="F90" s="4">
        <v>2</v>
      </c>
      <c r="G90" s="4">
        <v>2</v>
      </c>
      <c r="H90" s="4" t="s">
        <v>277</v>
      </c>
      <c r="I90" s="4">
        <v>5</v>
      </c>
      <c r="J90" s="4">
        <v>2</v>
      </c>
      <c r="K90" s="4">
        <v>2</v>
      </c>
      <c r="L90" s="4">
        <v>350</v>
      </c>
      <c r="M90" s="4">
        <v>3</v>
      </c>
      <c r="N90" s="4">
        <v>7</v>
      </c>
      <c r="O90" s="4">
        <v>0</v>
      </c>
      <c r="P90" s="4">
        <v>2</v>
      </c>
      <c r="Q90" s="4">
        <v>4412301</v>
      </c>
      <c r="U90" s="4">
        <v>0</v>
      </c>
      <c r="V90" s="4">
        <v>3000</v>
      </c>
      <c r="W90" s="4">
        <f t="shared" si="7"/>
        <v>1150</v>
      </c>
      <c r="X90" s="4">
        <v>1250</v>
      </c>
      <c r="Y90" s="4">
        <v>1580</v>
      </c>
      <c r="Z90" s="4">
        <v>1630</v>
      </c>
      <c r="AA90" s="4">
        <v>30000</v>
      </c>
      <c r="AC90" s="4">
        <v>2</v>
      </c>
      <c r="AD90" s="3">
        <v>0</v>
      </c>
      <c r="AF90" s="41"/>
      <c r="AH90" s="6">
        <v>0</v>
      </c>
      <c r="AI90" s="6">
        <v>0</v>
      </c>
      <c r="AJ90" s="4">
        <v>0</v>
      </c>
      <c r="AK90" s="4">
        <v>0</v>
      </c>
    </row>
    <row r="91" s="4" customFormat="1" spans="1:37">
      <c r="A91" s="4">
        <v>4412303</v>
      </c>
      <c r="B91" s="4">
        <v>4412301</v>
      </c>
      <c r="C91" s="4" t="s">
        <v>274</v>
      </c>
      <c r="D91" s="4" t="s">
        <v>275</v>
      </c>
      <c r="E91" s="4">
        <v>4413301</v>
      </c>
      <c r="F91" s="4">
        <v>2</v>
      </c>
      <c r="G91" s="4">
        <v>3</v>
      </c>
      <c r="H91" s="4" t="s">
        <v>278</v>
      </c>
      <c r="I91" s="4">
        <v>5</v>
      </c>
      <c r="J91" s="4">
        <v>2</v>
      </c>
      <c r="K91" s="4">
        <v>2</v>
      </c>
      <c r="L91" s="4">
        <v>350</v>
      </c>
      <c r="M91" s="4">
        <v>3</v>
      </c>
      <c r="N91" s="4">
        <v>7</v>
      </c>
      <c r="O91" s="4">
        <v>0</v>
      </c>
      <c r="P91" s="4">
        <v>2</v>
      </c>
      <c r="Q91" s="4">
        <v>4412301</v>
      </c>
      <c r="U91" s="4">
        <v>0</v>
      </c>
      <c r="V91" s="4">
        <v>6000</v>
      </c>
      <c r="W91" s="4">
        <f t="shared" si="7"/>
        <v>1150</v>
      </c>
      <c r="X91" s="4">
        <v>1250</v>
      </c>
      <c r="Y91" s="4">
        <v>1580</v>
      </c>
      <c r="Z91" s="4">
        <v>1630</v>
      </c>
      <c r="AA91" s="4">
        <v>30000</v>
      </c>
      <c r="AC91" s="4">
        <v>2</v>
      </c>
      <c r="AD91" s="3">
        <v>0</v>
      </c>
      <c r="AF91" s="41"/>
      <c r="AH91" s="6">
        <v>0</v>
      </c>
      <c r="AI91" s="6">
        <v>0</v>
      </c>
      <c r="AJ91" s="4">
        <v>0</v>
      </c>
      <c r="AK91" s="4">
        <v>0</v>
      </c>
    </row>
    <row r="92" s="3" customFormat="1" spans="1:37">
      <c r="A92" s="3">
        <v>4413101</v>
      </c>
      <c r="B92" s="3">
        <v>4413101</v>
      </c>
      <c r="C92" s="3" t="s">
        <v>87</v>
      </c>
      <c r="D92" s="3" t="s">
        <v>279</v>
      </c>
      <c r="F92" s="3">
        <v>1</v>
      </c>
      <c r="G92" s="3">
        <v>1</v>
      </c>
      <c r="I92" s="3">
        <v>7</v>
      </c>
      <c r="J92" s="3" t="s">
        <v>280</v>
      </c>
      <c r="K92" s="3">
        <v>3</v>
      </c>
      <c r="L92" s="3">
        <v>350</v>
      </c>
      <c r="M92" s="3">
        <v>1</v>
      </c>
      <c r="N92" s="3">
        <v>1</v>
      </c>
      <c r="O92" s="3">
        <v>0</v>
      </c>
      <c r="P92" s="3">
        <v>1</v>
      </c>
      <c r="Q92" s="3">
        <v>4413101</v>
      </c>
      <c r="U92" s="3">
        <v>0</v>
      </c>
      <c r="V92" s="3">
        <v>10000</v>
      </c>
      <c r="W92" s="3">
        <f t="shared" si="7"/>
        <v>230</v>
      </c>
      <c r="X92" s="3">
        <v>330</v>
      </c>
      <c r="Y92" s="3">
        <v>580</v>
      </c>
      <c r="Z92" s="3">
        <v>630</v>
      </c>
      <c r="AA92" s="3">
        <f>1000-Z92</f>
        <v>370</v>
      </c>
      <c r="AC92" s="3">
        <v>1</v>
      </c>
      <c r="AD92" s="3">
        <v>0</v>
      </c>
      <c r="AF92" s="41"/>
      <c r="AH92" s="3">
        <v>0</v>
      </c>
      <c r="AI92" s="3">
        <v>0</v>
      </c>
      <c r="AJ92" s="3">
        <v>0</v>
      </c>
      <c r="AK92" s="3">
        <v>0</v>
      </c>
    </row>
    <row r="93" s="4" customFormat="1" spans="1:37">
      <c r="A93" s="4">
        <v>4413201</v>
      </c>
      <c r="B93" s="4">
        <v>4413201</v>
      </c>
      <c r="C93" s="4" t="s">
        <v>281</v>
      </c>
      <c r="D93" s="4" t="s">
        <v>282</v>
      </c>
      <c r="E93" s="4">
        <v>4412201</v>
      </c>
      <c r="F93" s="4">
        <v>2</v>
      </c>
      <c r="G93" s="4">
        <v>1</v>
      </c>
      <c r="H93" s="4" t="s">
        <v>283</v>
      </c>
      <c r="I93" s="4">
        <v>4</v>
      </c>
      <c r="K93" s="4">
        <v>2</v>
      </c>
      <c r="L93" s="4">
        <v>350</v>
      </c>
      <c r="M93" s="4">
        <v>2</v>
      </c>
      <c r="N93" s="4">
        <v>2</v>
      </c>
      <c r="O93" s="4" t="s">
        <v>157</v>
      </c>
      <c r="P93" s="4">
        <v>12</v>
      </c>
      <c r="Q93" s="4">
        <v>4413201</v>
      </c>
      <c r="U93" s="4">
        <v>0</v>
      </c>
      <c r="V93" s="4">
        <v>0</v>
      </c>
      <c r="W93" s="4">
        <f t="shared" si="7"/>
        <v>480</v>
      </c>
      <c r="X93" s="4">
        <v>580</v>
      </c>
      <c r="Y93" s="4">
        <v>1170</v>
      </c>
      <c r="Z93" s="4">
        <v>1220</v>
      </c>
      <c r="AA93" s="4">
        <v>-1</v>
      </c>
      <c r="AB93" s="4" t="s">
        <v>200</v>
      </c>
      <c r="AC93" s="4">
        <v>2</v>
      </c>
      <c r="AD93" s="4">
        <v>1</v>
      </c>
      <c r="AE93" s="4" t="s">
        <v>284</v>
      </c>
      <c r="AF93" s="41"/>
      <c r="AH93" s="6">
        <v>0</v>
      </c>
      <c r="AI93" s="6">
        <v>0</v>
      </c>
      <c r="AJ93" s="4">
        <v>0</v>
      </c>
      <c r="AK93" s="4">
        <v>0</v>
      </c>
    </row>
    <row r="94" s="4" customFormat="1" spans="1:37">
      <c r="A94" s="4">
        <v>4413202</v>
      </c>
      <c r="B94" s="4">
        <v>4413201</v>
      </c>
      <c r="C94" s="4" t="s">
        <v>281</v>
      </c>
      <c r="D94" s="4" t="s">
        <v>282</v>
      </c>
      <c r="E94" s="4">
        <v>4412201</v>
      </c>
      <c r="F94" s="4">
        <v>2</v>
      </c>
      <c r="G94" s="4">
        <v>2</v>
      </c>
      <c r="H94" s="4" t="s">
        <v>104</v>
      </c>
      <c r="I94" s="4">
        <v>4</v>
      </c>
      <c r="K94" s="4">
        <v>2</v>
      </c>
      <c r="L94" s="4">
        <v>350</v>
      </c>
      <c r="M94" s="4">
        <v>2</v>
      </c>
      <c r="N94" s="4">
        <v>2</v>
      </c>
      <c r="O94" s="4" t="s">
        <v>157</v>
      </c>
      <c r="P94" s="4">
        <v>12</v>
      </c>
      <c r="Q94" s="4">
        <v>4413201</v>
      </c>
      <c r="U94" s="4">
        <v>0</v>
      </c>
      <c r="V94" s="4">
        <v>0</v>
      </c>
      <c r="W94" s="4">
        <f t="shared" si="7"/>
        <v>480</v>
      </c>
      <c r="X94" s="4">
        <v>580</v>
      </c>
      <c r="Y94" s="4">
        <v>1170</v>
      </c>
      <c r="Z94" s="4">
        <v>1220</v>
      </c>
      <c r="AA94" s="4">
        <v>-1</v>
      </c>
      <c r="AB94" s="4" t="s">
        <v>200</v>
      </c>
      <c r="AC94" s="4">
        <v>2</v>
      </c>
      <c r="AD94" s="4">
        <v>1</v>
      </c>
      <c r="AE94" s="4" t="s">
        <v>285</v>
      </c>
      <c r="AF94" s="41"/>
      <c r="AH94" s="6">
        <v>0</v>
      </c>
      <c r="AI94" s="6">
        <v>0</v>
      </c>
      <c r="AJ94" s="4">
        <v>0</v>
      </c>
      <c r="AK94" s="4">
        <v>0</v>
      </c>
    </row>
    <row r="95" s="4" customFormat="1" spans="1:37">
      <c r="A95" s="4">
        <v>4413203</v>
      </c>
      <c r="B95" s="4">
        <v>4413201</v>
      </c>
      <c r="C95" s="4" t="s">
        <v>281</v>
      </c>
      <c r="D95" s="4" t="s">
        <v>282</v>
      </c>
      <c r="E95" s="4">
        <v>4412201</v>
      </c>
      <c r="F95" s="4">
        <v>2</v>
      </c>
      <c r="G95" s="4">
        <v>3</v>
      </c>
      <c r="H95" s="4" t="s">
        <v>104</v>
      </c>
      <c r="I95" s="4">
        <v>4</v>
      </c>
      <c r="K95" s="4">
        <v>2</v>
      </c>
      <c r="L95" s="4">
        <v>350</v>
      </c>
      <c r="M95" s="4">
        <v>2</v>
      </c>
      <c r="N95" s="4">
        <v>2</v>
      </c>
      <c r="O95" s="4" t="s">
        <v>157</v>
      </c>
      <c r="P95" s="4">
        <v>12</v>
      </c>
      <c r="Q95" s="4">
        <v>4413201</v>
      </c>
      <c r="U95" s="4">
        <v>0</v>
      </c>
      <c r="V95" s="4">
        <v>0</v>
      </c>
      <c r="W95" s="4">
        <f t="shared" si="7"/>
        <v>480</v>
      </c>
      <c r="X95" s="4">
        <v>580</v>
      </c>
      <c r="Y95" s="4">
        <v>1170</v>
      </c>
      <c r="Z95" s="4">
        <v>1220</v>
      </c>
      <c r="AA95" s="4">
        <v>-1</v>
      </c>
      <c r="AB95" s="4" t="s">
        <v>200</v>
      </c>
      <c r="AC95" s="4">
        <v>2</v>
      </c>
      <c r="AD95" s="4">
        <v>1</v>
      </c>
      <c r="AE95" s="4" t="s">
        <v>286</v>
      </c>
      <c r="AF95" s="41"/>
      <c r="AH95" s="6">
        <v>0</v>
      </c>
      <c r="AI95" s="6">
        <v>0</v>
      </c>
      <c r="AJ95" s="4">
        <v>0</v>
      </c>
      <c r="AK95" s="4">
        <v>0</v>
      </c>
    </row>
    <row r="96" s="4" customFormat="1" spans="1:37">
      <c r="A96" s="4">
        <v>4413301</v>
      </c>
      <c r="B96" s="4">
        <v>4413301</v>
      </c>
      <c r="C96" s="4" t="s">
        <v>287</v>
      </c>
      <c r="D96" s="4" t="s">
        <v>288</v>
      </c>
      <c r="E96" s="4">
        <v>4412301</v>
      </c>
      <c r="F96" s="4">
        <v>2</v>
      </c>
      <c r="G96" s="4">
        <v>1</v>
      </c>
      <c r="H96" s="4" t="s">
        <v>289</v>
      </c>
      <c r="I96" s="4">
        <v>4</v>
      </c>
      <c r="K96" s="4">
        <v>2</v>
      </c>
      <c r="L96" s="4">
        <v>350</v>
      </c>
      <c r="M96" s="4">
        <v>3</v>
      </c>
      <c r="N96" s="4">
        <v>2</v>
      </c>
      <c r="O96" s="4" t="s">
        <v>209</v>
      </c>
      <c r="P96" s="4">
        <v>1</v>
      </c>
      <c r="Q96" s="4">
        <v>4413301</v>
      </c>
      <c r="U96" s="4">
        <v>0</v>
      </c>
      <c r="V96" s="4">
        <v>0</v>
      </c>
      <c r="W96" s="4">
        <f t="shared" si="7"/>
        <v>230</v>
      </c>
      <c r="X96" s="4">
        <v>330</v>
      </c>
      <c r="Y96" s="4">
        <v>1250</v>
      </c>
      <c r="Z96" s="4">
        <v>1300</v>
      </c>
      <c r="AA96" s="4">
        <v>25000</v>
      </c>
      <c r="AC96" s="4">
        <v>2</v>
      </c>
      <c r="AD96" s="4">
        <v>1</v>
      </c>
      <c r="AE96" s="4" t="s">
        <v>290</v>
      </c>
      <c r="AF96" s="41"/>
      <c r="AH96" s="6">
        <v>0</v>
      </c>
      <c r="AI96" s="6">
        <v>0</v>
      </c>
      <c r="AJ96" s="4">
        <v>0</v>
      </c>
      <c r="AK96" s="4">
        <v>0</v>
      </c>
    </row>
    <row r="97" s="4" customFormat="1" spans="1:37">
      <c r="A97" s="4">
        <v>4413302</v>
      </c>
      <c r="B97" s="4">
        <v>4413301</v>
      </c>
      <c r="C97" s="4" t="s">
        <v>287</v>
      </c>
      <c r="D97" s="4" t="s">
        <v>288</v>
      </c>
      <c r="E97" s="4">
        <v>4412301</v>
      </c>
      <c r="F97" s="4">
        <v>2</v>
      </c>
      <c r="G97" s="4">
        <v>2</v>
      </c>
      <c r="H97" s="4" t="s">
        <v>291</v>
      </c>
      <c r="I97" s="4">
        <v>4</v>
      </c>
      <c r="K97" s="4">
        <v>2</v>
      </c>
      <c r="L97" s="4">
        <v>350</v>
      </c>
      <c r="M97" s="4">
        <v>3</v>
      </c>
      <c r="N97" s="4">
        <v>2</v>
      </c>
      <c r="O97" s="4" t="s">
        <v>209</v>
      </c>
      <c r="P97" s="4">
        <v>2</v>
      </c>
      <c r="Q97" s="4">
        <v>4413301</v>
      </c>
      <c r="U97" s="4">
        <v>0</v>
      </c>
      <c r="V97" s="4">
        <v>0</v>
      </c>
      <c r="W97" s="4">
        <f t="shared" si="7"/>
        <v>230</v>
      </c>
      <c r="X97" s="4">
        <v>330</v>
      </c>
      <c r="Y97" s="4">
        <v>1250</v>
      </c>
      <c r="Z97" s="4">
        <v>1300</v>
      </c>
      <c r="AA97" s="4">
        <v>25000</v>
      </c>
      <c r="AC97" s="4">
        <v>2</v>
      </c>
      <c r="AD97" s="4">
        <v>1</v>
      </c>
      <c r="AE97" s="4" t="s">
        <v>292</v>
      </c>
      <c r="AF97" s="41"/>
      <c r="AH97" s="6">
        <v>0</v>
      </c>
      <c r="AI97" s="6">
        <v>0</v>
      </c>
      <c r="AJ97" s="4">
        <v>0</v>
      </c>
      <c r="AK97" s="4">
        <v>0</v>
      </c>
    </row>
    <row r="98" s="4" customFormat="1" spans="1:37">
      <c r="A98" s="4">
        <v>4413303</v>
      </c>
      <c r="B98" s="4">
        <v>4413301</v>
      </c>
      <c r="C98" s="4" t="s">
        <v>287</v>
      </c>
      <c r="D98" s="4" t="s">
        <v>288</v>
      </c>
      <c r="E98" s="4">
        <v>4412301</v>
      </c>
      <c r="F98" s="4">
        <v>2</v>
      </c>
      <c r="G98" s="4">
        <v>3</v>
      </c>
      <c r="H98" s="4" t="s">
        <v>125</v>
      </c>
      <c r="I98" s="4">
        <v>4</v>
      </c>
      <c r="K98" s="4">
        <v>2</v>
      </c>
      <c r="L98" s="4">
        <v>350</v>
      </c>
      <c r="M98" s="4">
        <v>3</v>
      </c>
      <c r="N98" s="4">
        <v>2</v>
      </c>
      <c r="O98" s="4" t="s">
        <v>209</v>
      </c>
      <c r="P98" s="4">
        <v>2</v>
      </c>
      <c r="Q98" s="4">
        <v>4413301</v>
      </c>
      <c r="U98" s="4">
        <v>0</v>
      </c>
      <c r="V98" s="4">
        <v>0</v>
      </c>
      <c r="W98" s="4">
        <f t="shared" si="7"/>
        <v>230</v>
      </c>
      <c r="X98" s="4">
        <v>330</v>
      </c>
      <c r="Y98" s="4">
        <v>1250</v>
      </c>
      <c r="Z98" s="4">
        <v>1300</v>
      </c>
      <c r="AA98" s="4">
        <v>20000</v>
      </c>
      <c r="AC98" s="4">
        <v>2</v>
      </c>
      <c r="AD98" s="4">
        <v>1</v>
      </c>
      <c r="AE98" s="4" t="s">
        <v>292</v>
      </c>
      <c r="AF98" s="41"/>
      <c r="AH98" s="6">
        <v>0</v>
      </c>
      <c r="AI98" s="6">
        <v>0</v>
      </c>
      <c r="AJ98" s="4">
        <v>0</v>
      </c>
      <c r="AK98" s="4">
        <v>0</v>
      </c>
    </row>
    <row r="99" s="3" customFormat="1" spans="1:37">
      <c r="A99" s="3">
        <v>4414101</v>
      </c>
      <c r="B99" s="3">
        <v>4414101</v>
      </c>
      <c r="C99" s="3" t="s">
        <v>87</v>
      </c>
      <c r="D99" s="3" t="s">
        <v>293</v>
      </c>
      <c r="F99" s="3">
        <v>1</v>
      </c>
      <c r="G99" s="3">
        <v>1</v>
      </c>
      <c r="I99" s="3">
        <v>7</v>
      </c>
      <c r="J99" s="3" t="s">
        <v>294</v>
      </c>
      <c r="K99" s="3">
        <v>3</v>
      </c>
      <c r="L99" s="3">
        <v>350</v>
      </c>
      <c r="M99" s="3">
        <v>1</v>
      </c>
      <c r="N99" s="3">
        <v>1</v>
      </c>
      <c r="O99" s="3">
        <v>0</v>
      </c>
      <c r="P99" s="3">
        <v>1</v>
      </c>
      <c r="Q99" s="3">
        <v>4414101</v>
      </c>
      <c r="U99" s="3">
        <v>0</v>
      </c>
      <c r="V99" s="3">
        <v>10000</v>
      </c>
      <c r="W99" s="3">
        <f t="shared" si="7"/>
        <v>320</v>
      </c>
      <c r="X99" s="3">
        <v>420</v>
      </c>
      <c r="Y99" s="3">
        <v>500</v>
      </c>
      <c r="Z99" s="3">
        <v>550</v>
      </c>
      <c r="AA99" s="3">
        <f>1000-Z99</f>
        <v>450</v>
      </c>
      <c r="AC99" s="3">
        <v>2</v>
      </c>
      <c r="AD99" s="3">
        <v>0</v>
      </c>
      <c r="AF99" s="41"/>
      <c r="AH99" s="3">
        <v>0</v>
      </c>
      <c r="AI99" s="3">
        <v>0</v>
      </c>
      <c r="AJ99" s="3">
        <v>0</v>
      </c>
      <c r="AK99" s="9">
        <v>0</v>
      </c>
    </row>
    <row r="100" s="3" customFormat="1" spans="1:37">
      <c r="A100" s="3">
        <v>4414102</v>
      </c>
      <c r="B100" s="3">
        <v>4414101</v>
      </c>
      <c r="C100" s="3" t="s">
        <v>87</v>
      </c>
      <c r="D100" s="3" t="s">
        <v>293</v>
      </c>
      <c r="F100" s="3">
        <v>1</v>
      </c>
      <c r="G100" s="3">
        <v>2</v>
      </c>
      <c r="I100" s="3">
        <v>7</v>
      </c>
      <c r="J100" s="3" t="s">
        <v>294</v>
      </c>
      <c r="K100" s="3">
        <v>3</v>
      </c>
      <c r="L100" s="3">
        <v>350</v>
      </c>
      <c r="M100" s="3">
        <v>1</v>
      </c>
      <c r="N100" s="3">
        <v>1</v>
      </c>
      <c r="O100" s="3">
        <v>0</v>
      </c>
      <c r="P100" s="3">
        <v>1</v>
      </c>
      <c r="Q100" s="3">
        <v>4414101</v>
      </c>
      <c r="U100" s="3">
        <v>0</v>
      </c>
      <c r="V100" s="3">
        <v>10000</v>
      </c>
      <c r="W100" s="3">
        <f t="shared" si="7"/>
        <v>320</v>
      </c>
      <c r="X100" s="3">
        <v>420</v>
      </c>
      <c r="Y100" s="3">
        <v>500</v>
      </c>
      <c r="Z100" s="3">
        <v>550</v>
      </c>
      <c r="AA100" s="3">
        <f>1000-Z100</f>
        <v>450</v>
      </c>
      <c r="AC100" s="3">
        <v>2</v>
      </c>
      <c r="AD100" s="3">
        <v>1</v>
      </c>
      <c r="AE100" s="5" t="s">
        <v>172</v>
      </c>
      <c r="AF100" s="41"/>
      <c r="AH100" s="3">
        <v>0</v>
      </c>
      <c r="AI100" s="3">
        <v>0</v>
      </c>
      <c r="AJ100" s="3">
        <v>0</v>
      </c>
      <c r="AK100" s="9">
        <v>0</v>
      </c>
    </row>
    <row r="101" s="5" customFormat="1" spans="1:37">
      <c r="A101" s="5">
        <v>4414201</v>
      </c>
      <c r="B101" s="5">
        <v>4414201</v>
      </c>
      <c r="C101" s="5" t="s">
        <v>295</v>
      </c>
      <c r="D101" s="5" t="s">
        <v>296</v>
      </c>
      <c r="E101" s="29">
        <v>4414201</v>
      </c>
      <c r="F101" s="5">
        <v>2</v>
      </c>
      <c r="G101" s="5">
        <v>1</v>
      </c>
      <c r="H101" s="30" t="s">
        <v>297</v>
      </c>
      <c r="I101" s="5">
        <v>7</v>
      </c>
      <c r="J101" s="5" t="s">
        <v>298</v>
      </c>
      <c r="K101" s="5">
        <v>3</v>
      </c>
      <c r="L101" s="5">
        <v>350</v>
      </c>
      <c r="M101" s="5">
        <v>2</v>
      </c>
      <c r="N101" s="5">
        <v>1</v>
      </c>
      <c r="O101" s="5">
        <v>0</v>
      </c>
      <c r="P101" s="5">
        <v>5</v>
      </c>
      <c r="Q101" s="5">
        <v>4414201</v>
      </c>
      <c r="U101" s="5">
        <v>0</v>
      </c>
      <c r="V101" s="5">
        <v>20000</v>
      </c>
      <c r="W101" s="4">
        <v>400</v>
      </c>
      <c r="X101" s="37" t="s">
        <v>299</v>
      </c>
      <c r="Y101" s="5">
        <v>1000</v>
      </c>
      <c r="Z101" s="5">
        <v>1050</v>
      </c>
      <c r="AA101" s="5">
        <v>-1</v>
      </c>
      <c r="AB101" s="5" t="s">
        <v>111</v>
      </c>
      <c r="AC101" s="5">
        <v>2</v>
      </c>
      <c r="AD101" s="3">
        <v>0</v>
      </c>
      <c r="AF101" s="41"/>
      <c r="AH101" s="6">
        <v>0</v>
      </c>
      <c r="AI101" s="6">
        <v>0</v>
      </c>
      <c r="AJ101" s="5">
        <v>0</v>
      </c>
      <c r="AK101" s="5">
        <v>0</v>
      </c>
    </row>
    <row r="102" s="5" customFormat="1" spans="1:37">
      <c r="A102" s="5">
        <v>4414202</v>
      </c>
      <c r="B102" s="5">
        <v>4414201</v>
      </c>
      <c r="C102" s="5" t="s">
        <v>295</v>
      </c>
      <c r="D102" s="5" t="s">
        <v>296</v>
      </c>
      <c r="E102" s="29">
        <v>4414201</v>
      </c>
      <c r="F102" s="5">
        <v>2</v>
      </c>
      <c r="G102" s="5">
        <v>2</v>
      </c>
      <c r="H102" s="5" t="s">
        <v>300</v>
      </c>
      <c r="I102" s="5">
        <v>7</v>
      </c>
      <c r="J102" s="5" t="s">
        <v>298</v>
      </c>
      <c r="K102" s="5">
        <v>3</v>
      </c>
      <c r="L102" s="5">
        <v>350</v>
      </c>
      <c r="M102" s="5">
        <v>2</v>
      </c>
      <c r="N102" s="5">
        <v>1</v>
      </c>
      <c r="O102" s="5">
        <v>0</v>
      </c>
      <c r="P102" s="5">
        <v>5</v>
      </c>
      <c r="Q102" s="5">
        <v>4414201</v>
      </c>
      <c r="U102" s="5">
        <v>0</v>
      </c>
      <c r="V102" s="5">
        <v>20000</v>
      </c>
      <c r="W102" s="4">
        <v>400</v>
      </c>
      <c r="X102" s="37" t="s">
        <v>299</v>
      </c>
      <c r="Y102" s="5">
        <v>1000</v>
      </c>
      <c r="Z102" s="5">
        <v>1050</v>
      </c>
      <c r="AA102" s="5">
        <v>-1</v>
      </c>
      <c r="AB102" s="5" t="s">
        <v>111</v>
      </c>
      <c r="AC102" s="5">
        <v>2</v>
      </c>
      <c r="AD102" s="3">
        <v>0</v>
      </c>
      <c r="AF102" s="41"/>
      <c r="AH102" s="6">
        <v>0</v>
      </c>
      <c r="AI102" s="6">
        <v>0</v>
      </c>
      <c r="AJ102" s="5">
        <v>0</v>
      </c>
      <c r="AK102" s="29">
        <v>0</v>
      </c>
    </row>
    <row r="103" s="5" customFormat="1" spans="1:37">
      <c r="A103" s="5">
        <v>4414203</v>
      </c>
      <c r="B103" s="5">
        <v>4414201</v>
      </c>
      <c r="C103" s="5" t="s">
        <v>295</v>
      </c>
      <c r="D103" s="5" t="s">
        <v>296</v>
      </c>
      <c r="E103" s="29">
        <v>4414201</v>
      </c>
      <c r="F103" s="5">
        <v>2</v>
      </c>
      <c r="G103" s="5">
        <v>3</v>
      </c>
      <c r="H103" s="5" t="s">
        <v>301</v>
      </c>
      <c r="I103" s="5">
        <v>7</v>
      </c>
      <c r="J103" s="5" t="s">
        <v>298</v>
      </c>
      <c r="K103" s="5">
        <v>3</v>
      </c>
      <c r="L103" s="5">
        <v>350</v>
      </c>
      <c r="M103" s="5">
        <v>2</v>
      </c>
      <c r="N103" s="5">
        <v>1</v>
      </c>
      <c r="O103" s="5">
        <v>0</v>
      </c>
      <c r="P103" s="5">
        <v>5</v>
      </c>
      <c r="Q103" s="5">
        <v>4414201</v>
      </c>
      <c r="U103" s="5">
        <v>0</v>
      </c>
      <c r="V103" s="5">
        <v>20000</v>
      </c>
      <c r="W103" s="4">
        <v>400</v>
      </c>
      <c r="X103" s="37" t="s">
        <v>299</v>
      </c>
      <c r="Y103" s="5">
        <v>1000</v>
      </c>
      <c r="Z103" s="5">
        <v>1050</v>
      </c>
      <c r="AA103" s="5">
        <v>-1</v>
      </c>
      <c r="AB103" s="5" t="s">
        <v>111</v>
      </c>
      <c r="AC103" s="5">
        <v>2</v>
      </c>
      <c r="AD103" s="3">
        <v>0</v>
      </c>
      <c r="AF103" s="41"/>
      <c r="AH103" s="6">
        <v>0</v>
      </c>
      <c r="AI103" s="6">
        <v>0</v>
      </c>
      <c r="AJ103" s="5">
        <v>0</v>
      </c>
      <c r="AK103" s="5">
        <v>0</v>
      </c>
    </row>
    <row r="104" s="5" customFormat="1" spans="1:37">
      <c r="A104" s="5">
        <v>4414301</v>
      </c>
      <c r="B104" s="5">
        <v>4414301</v>
      </c>
      <c r="C104" s="5" t="s">
        <v>302</v>
      </c>
      <c r="D104" s="5" t="s">
        <v>303</v>
      </c>
      <c r="E104" s="29">
        <v>4414301</v>
      </c>
      <c r="F104" s="5">
        <v>2</v>
      </c>
      <c r="G104" s="5">
        <v>1</v>
      </c>
      <c r="H104" s="5" t="s">
        <v>304</v>
      </c>
      <c r="I104" s="5">
        <v>7</v>
      </c>
      <c r="J104" s="5" t="s">
        <v>305</v>
      </c>
      <c r="K104" s="5">
        <v>3</v>
      </c>
      <c r="L104" s="5">
        <v>350</v>
      </c>
      <c r="M104" s="5">
        <v>3</v>
      </c>
      <c r="N104" s="5">
        <v>1</v>
      </c>
      <c r="O104" s="5" t="s">
        <v>306</v>
      </c>
      <c r="P104" s="5">
        <v>10</v>
      </c>
      <c r="Q104" s="5">
        <v>4414301</v>
      </c>
      <c r="U104" s="5">
        <v>0</v>
      </c>
      <c r="V104" s="5">
        <v>20000</v>
      </c>
      <c r="W104" s="4">
        <f>X104-100</f>
        <v>1320</v>
      </c>
      <c r="X104" s="37">
        <v>1420</v>
      </c>
      <c r="Y104" s="5">
        <v>1830</v>
      </c>
      <c r="Z104" s="5">
        <v>1880</v>
      </c>
      <c r="AA104" s="5">
        <v>20000</v>
      </c>
      <c r="AC104" s="5">
        <v>2</v>
      </c>
      <c r="AD104" s="3">
        <v>0</v>
      </c>
      <c r="AF104" s="41"/>
      <c r="AH104" s="6">
        <v>0</v>
      </c>
      <c r="AI104" s="6"/>
      <c r="AJ104" s="5">
        <v>0</v>
      </c>
      <c r="AK104" s="29">
        <v>0</v>
      </c>
    </row>
    <row r="105" s="5" customFormat="1" spans="1:37">
      <c r="A105" s="5">
        <v>4414302</v>
      </c>
      <c r="B105" s="5">
        <v>4414301</v>
      </c>
      <c r="C105" s="5" t="s">
        <v>302</v>
      </c>
      <c r="D105" s="5" t="s">
        <v>303</v>
      </c>
      <c r="E105" s="29">
        <v>4414301</v>
      </c>
      <c r="F105" s="5">
        <v>2</v>
      </c>
      <c r="G105" s="5">
        <v>2</v>
      </c>
      <c r="H105" s="5" t="s">
        <v>138</v>
      </c>
      <c r="I105" s="5">
        <v>7</v>
      </c>
      <c r="J105" s="5" t="s">
        <v>305</v>
      </c>
      <c r="K105" s="5">
        <v>3</v>
      </c>
      <c r="L105" s="5">
        <v>350</v>
      </c>
      <c r="M105" s="5">
        <v>3</v>
      </c>
      <c r="N105" s="5">
        <v>1</v>
      </c>
      <c r="O105" s="5" t="s">
        <v>306</v>
      </c>
      <c r="P105" s="5">
        <v>10</v>
      </c>
      <c r="Q105" s="5">
        <v>4414301</v>
      </c>
      <c r="U105" s="5">
        <v>0</v>
      </c>
      <c r="V105" s="5">
        <v>30000</v>
      </c>
      <c r="W105" s="4">
        <f>X105-100</f>
        <v>1320</v>
      </c>
      <c r="X105" s="37">
        <v>1420</v>
      </c>
      <c r="Y105" s="5">
        <v>1830</v>
      </c>
      <c r="Z105" s="5">
        <v>1880</v>
      </c>
      <c r="AA105" s="5">
        <v>20000</v>
      </c>
      <c r="AC105" s="5">
        <v>2</v>
      </c>
      <c r="AD105" s="3">
        <v>0</v>
      </c>
      <c r="AF105" s="41"/>
      <c r="AH105" s="6">
        <v>0</v>
      </c>
      <c r="AI105" s="6"/>
      <c r="AJ105" s="5">
        <v>0</v>
      </c>
      <c r="AK105" s="5">
        <v>0</v>
      </c>
    </row>
    <row r="106" s="5" customFormat="1" spans="1:37">
      <c r="A106" s="5">
        <v>4414303</v>
      </c>
      <c r="B106" s="5">
        <v>4414301</v>
      </c>
      <c r="C106" s="5" t="s">
        <v>302</v>
      </c>
      <c r="D106" s="5" t="s">
        <v>303</v>
      </c>
      <c r="E106" s="29">
        <v>4414301</v>
      </c>
      <c r="F106" s="5">
        <v>2</v>
      </c>
      <c r="G106" s="5">
        <v>3</v>
      </c>
      <c r="H106" s="5" t="s">
        <v>138</v>
      </c>
      <c r="I106" s="5">
        <v>7</v>
      </c>
      <c r="J106" s="5" t="s">
        <v>305</v>
      </c>
      <c r="K106" s="5">
        <v>3</v>
      </c>
      <c r="L106" s="5">
        <v>350</v>
      </c>
      <c r="M106" s="5">
        <v>3</v>
      </c>
      <c r="N106" s="5">
        <v>1</v>
      </c>
      <c r="O106" s="5" t="s">
        <v>306</v>
      </c>
      <c r="P106" s="5">
        <v>10</v>
      </c>
      <c r="Q106" s="5">
        <v>4414301</v>
      </c>
      <c r="U106" s="5">
        <v>0</v>
      </c>
      <c r="V106" s="5">
        <v>40000</v>
      </c>
      <c r="W106" s="4">
        <f>X106-100</f>
        <v>1320</v>
      </c>
      <c r="X106" s="37">
        <v>1420</v>
      </c>
      <c r="Y106" s="5">
        <v>1830</v>
      </c>
      <c r="Z106" s="5">
        <v>1880</v>
      </c>
      <c r="AA106" s="5">
        <v>20000</v>
      </c>
      <c r="AC106" s="5">
        <v>2</v>
      </c>
      <c r="AD106" s="3">
        <v>0</v>
      </c>
      <c r="AF106" s="41"/>
      <c r="AH106" s="6">
        <v>0</v>
      </c>
      <c r="AI106" s="6"/>
      <c r="AJ106" s="5">
        <v>0</v>
      </c>
      <c r="AK106" s="29">
        <v>0</v>
      </c>
    </row>
    <row r="107" s="3" customFormat="1" spans="1:37">
      <c r="A107" s="3">
        <v>4301101</v>
      </c>
      <c r="B107" s="3">
        <v>4301101</v>
      </c>
      <c r="C107" s="3" t="s">
        <v>87</v>
      </c>
      <c r="D107" s="3" t="s">
        <v>307</v>
      </c>
      <c r="F107" s="3">
        <v>1</v>
      </c>
      <c r="G107" s="3">
        <v>1</v>
      </c>
      <c r="I107" s="3">
        <v>1</v>
      </c>
      <c r="K107" s="3">
        <v>3</v>
      </c>
      <c r="L107" s="3">
        <v>65</v>
      </c>
      <c r="M107" s="3">
        <v>1</v>
      </c>
      <c r="N107" s="3">
        <v>1</v>
      </c>
      <c r="O107" s="3">
        <v>0</v>
      </c>
      <c r="P107" s="3">
        <v>1</v>
      </c>
      <c r="Q107" s="3">
        <v>4301101</v>
      </c>
      <c r="U107" s="3">
        <v>0</v>
      </c>
      <c r="V107" s="3">
        <v>10000</v>
      </c>
      <c r="W107" s="3">
        <f>X107-100</f>
        <v>380</v>
      </c>
      <c r="X107" s="3">
        <v>480</v>
      </c>
      <c r="Y107" s="3">
        <v>600</v>
      </c>
      <c r="Z107" s="3">
        <f>Y107+50</f>
        <v>650</v>
      </c>
      <c r="AA107" s="3">
        <f>1000-Z107</f>
        <v>350</v>
      </c>
      <c r="AC107" s="3">
        <v>1</v>
      </c>
      <c r="AD107" s="3">
        <v>0</v>
      </c>
      <c r="AF107" s="41"/>
      <c r="AH107" s="3">
        <v>0</v>
      </c>
      <c r="AI107" s="3">
        <v>0</v>
      </c>
      <c r="AJ107" s="3">
        <v>0</v>
      </c>
      <c r="AK107" s="3">
        <v>0</v>
      </c>
    </row>
    <row r="108" s="10" customFormat="1" spans="1:37">
      <c r="A108" s="10">
        <v>4301201</v>
      </c>
      <c r="B108" s="10">
        <v>4301201</v>
      </c>
      <c r="C108" s="10" t="s">
        <v>308</v>
      </c>
      <c r="D108" s="10" t="s">
        <v>309</v>
      </c>
      <c r="E108" s="48">
        <v>4301201</v>
      </c>
      <c r="F108" s="10">
        <v>2</v>
      </c>
      <c r="G108" s="10">
        <v>1</v>
      </c>
      <c r="H108" s="10" t="s">
        <v>310</v>
      </c>
      <c r="I108" s="10">
        <v>2</v>
      </c>
      <c r="K108" s="10">
        <v>3</v>
      </c>
      <c r="L108" s="10">
        <v>100</v>
      </c>
      <c r="M108" s="10">
        <v>2</v>
      </c>
      <c r="N108" s="10">
        <v>2</v>
      </c>
      <c r="O108" s="10" t="s">
        <v>311</v>
      </c>
      <c r="P108" s="10">
        <v>10</v>
      </c>
      <c r="Q108" s="10">
        <v>4301201</v>
      </c>
      <c r="U108" s="10">
        <v>0</v>
      </c>
      <c r="V108" s="10">
        <v>30000</v>
      </c>
      <c r="W108" s="10">
        <f t="shared" ref="W108:W128" si="8">X108-100</f>
        <v>690</v>
      </c>
      <c r="X108" s="10">
        <v>790</v>
      </c>
      <c r="Y108" s="10">
        <v>960</v>
      </c>
      <c r="Z108" s="10">
        <f t="shared" ref="Z108:Z131" si="9">Y108+50</f>
        <v>1010</v>
      </c>
      <c r="AA108" s="10">
        <v>-1</v>
      </c>
      <c r="AB108" s="10" t="s">
        <v>166</v>
      </c>
      <c r="AC108" s="10">
        <v>1</v>
      </c>
      <c r="AD108" s="3">
        <v>0</v>
      </c>
      <c r="AF108" s="41"/>
      <c r="AH108" s="6">
        <v>1</v>
      </c>
      <c r="AI108" s="6" t="s">
        <v>124</v>
      </c>
      <c r="AJ108" s="10">
        <v>0</v>
      </c>
      <c r="AK108" s="48">
        <v>0</v>
      </c>
    </row>
    <row r="109" s="10" customFormat="1" spans="1:37">
      <c r="A109" s="10">
        <v>4301202</v>
      </c>
      <c r="B109" s="10">
        <v>4301201</v>
      </c>
      <c r="C109" s="10" t="s">
        <v>308</v>
      </c>
      <c r="D109" s="10" t="s">
        <v>309</v>
      </c>
      <c r="E109" s="48">
        <v>4301201</v>
      </c>
      <c r="F109" s="10">
        <v>2</v>
      </c>
      <c r="G109" s="10">
        <v>2</v>
      </c>
      <c r="H109" s="10" t="s">
        <v>312</v>
      </c>
      <c r="I109" s="10">
        <v>2</v>
      </c>
      <c r="K109" s="10">
        <v>3</v>
      </c>
      <c r="L109" s="10">
        <v>100</v>
      </c>
      <c r="M109" s="10">
        <v>2</v>
      </c>
      <c r="N109" s="10">
        <v>2</v>
      </c>
      <c r="O109" s="10" t="s">
        <v>311</v>
      </c>
      <c r="P109" s="10">
        <v>10</v>
      </c>
      <c r="Q109" s="10">
        <v>4301201</v>
      </c>
      <c r="U109" s="10">
        <v>0</v>
      </c>
      <c r="V109" s="10">
        <v>30000</v>
      </c>
      <c r="W109" s="10">
        <f t="shared" si="8"/>
        <v>690</v>
      </c>
      <c r="X109" s="10">
        <v>790</v>
      </c>
      <c r="Y109" s="10">
        <v>960</v>
      </c>
      <c r="Z109" s="10">
        <f t="shared" si="9"/>
        <v>1010</v>
      </c>
      <c r="AA109" s="10">
        <v>-1</v>
      </c>
      <c r="AB109" s="10" t="s">
        <v>166</v>
      </c>
      <c r="AC109" s="10">
        <v>1</v>
      </c>
      <c r="AD109" s="10">
        <v>1</v>
      </c>
      <c r="AE109" s="10" t="s">
        <v>313</v>
      </c>
      <c r="AF109" s="41"/>
      <c r="AH109" s="6">
        <v>1</v>
      </c>
      <c r="AI109" s="6" t="s">
        <v>124</v>
      </c>
      <c r="AJ109" s="10">
        <v>0</v>
      </c>
      <c r="AK109" s="10">
        <v>0</v>
      </c>
    </row>
    <row r="110" s="10" customFormat="1" spans="1:37">
      <c r="A110" s="10">
        <v>4301203</v>
      </c>
      <c r="B110" s="10">
        <v>4301201</v>
      </c>
      <c r="C110" s="10" t="s">
        <v>308</v>
      </c>
      <c r="D110" s="10" t="s">
        <v>309</v>
      </c>
      <c r="E110" s="48">
        <v>4301201</v>
      </c>
      <c r="F110" s="10">
        <v>2</v>
      </c>
      <c r="G110" s="10">
        <v>3</v>
      </c>
      <c r="H110" s="10" t="s">
        <v>125</v>
      </c>
      <c r="I110" s="10">
        <v>2</v>
      </c>
      <c r="K110" s="10">
        <v>3</v>
      </c>
      <c r="L110" s="10">
        <v>100</v>
      </c>
      <c r="M110" s="10">
        <v>2</v>
      </c>
      <c r="N110" s="10">
        <v>2</v>
      </c>
      <c r="O110" s="10" t="s">
        <v>311</v>
      </c>
      <c r="P110" s="10">
        <v>10</v>
      </c>
      <c r="Q110" s="10">
        <v>4301201</v>
      </c>
      <c r="U110" s="10">
        <v>0</v>
      </c>
      <c r="V110" s="10">
        <v>30000</v>
      </c>
      <c r="W110" s="10">
        <f t="shared" si="8"/>
        <v>690</v>
      </c>
      <c r="X110" s="10">
        <v>790</v>
      </c>
      <c r="Y110" s="10">
        <v>960</v>
      </c>
      <c r="Z110" s="10">
        <f t="shared" si="9"/>
        <v>1010</v>
      </c>
      <c r="AA110" s="10">
        <v>-1</v>
      </c>
      <c r="AB110" s="10" t="s">
        <v>133</v>
      </c>
      <c r="AC110" s="10">
        <v>1</v>
      </c>
      <c r="AD110" s="10">
        <v>1</v>
      </c>
      <c r="AE110" s="10" t="s">
        <v>313</v>
      </c>
      <c r="AF110" s="41"/>
      <c r="AH110" s="6">
        <v>1</v>
      </c>
      <c r="AI110" s="6" t="s">
        <v>124</v>
      </c>
      <c r="AJ110" s="10">
        <v>0</v>
      </c>
      <c r="AK110" s="48">
        <v>0</v>
      </c>
    </row>
    <row r="111" s="10" customFormat="1" spans="1:37">
      <c r="A111" s="10">
        <v>4301301</v>
      </c>
      <c r="B111" s="10">
        <v>4301301</v>
      </c>
      <c r="C111" s="10" t="s">
        <v>314</v>
      </c>
      <c r="D111" s="10" t="s">
        <v>315</v>
      </c>
      <c r="E111" s="48">
        <v>4301301</v>
      </c>
      <c r="F111" s="10">
        <v>2</v>
      </c>
      <c r="G111" s="10">
        <v>1</v>
      </c>
      <c r="H111" s="10" t="s">
        <v>316</v>
      </c>
      <c r="I111" s="10">
        <v>2</v>
      </c>
      <c r="K111" s="10">
        <v>3</v>
      </c>
      <c r="L111" s="10">
        <v>100</v>
      </c>
      <c r="M111" s="10">
        <v>3</v>
      </c>
      <c r="N111" s="10">
        <v>2</v>
      </c>
      <c r="O111" s="10" t="s">
        <v>317</v>
      </c>
      <c r="P111" s="10">
        <v>10</v>
      </c>
      <c r="Q111" s="10">
        <v>4301301</v>
      </c>
      <c r="U111" s="10">
        <v>0</v>
      </c>
      <c r="V111" s="10">
        <v>5000</v>
      </c>
      <c r="W111" s="10">
        <v>230</v>
      </c>
      <c r="X111" s="10" t="s">
        <v>318</v>
      </c>
      <c r="Y111" s="10">
        <v>2920</v>
      </c>
      <c r="Z111" s="10">
        <f t="shared" si="9"/>
        <v>2970</v>
      </c>
      <c r="AA111" s="10">
        <v>22000</v>
      </c>
      <c r="AC111" s="10">
        <v>1</v>
      </c>
      <c r="AD111" s="3">
        <v>0</v>
      </c>
      <c r="AF111" s="41"/>
      <c r="AH111" s="6">
        <v>0</v>
      </c>
      <c r="AI111" s="6">
        <v>0</v>
      </c>
      <c r="AJ111" s="10">
        <v>0</v>
      </c>
      <c r="AK111" s="10">
        <v>0</v>
      </c>
    </row>
    <row r="112" s="10" customFormat="1" spans="1:37">
      <c r="A112" s="10">
        <v>4301302</v>
      </c>
      <c r="B112" s="10">
        <v>4301301</v>
      </c>
      <c r="C112" s="10" t="s">
        <v>314</v>
      </c>
      <c r="D112" s="10" t="s">
        <v>315</v>
      </c>
      <c r="E112" s="48">
        <v>4301301</v>
      </c>
      <c r="F112" s="10">
        <v>2</v>
      </c>
      <c r="G112" s="10">
        <v>2</v>
      </c>
      <c r="H112" s="10" t="s">
        <v>319</v>
      </c>
      <c r="I112" s="10">
        <v>2</v>
      </c>
      <c r="K112" s="10">
        <v>3</v>
      </c>
      <c r="L112" s="10">
        <v>100</v>
      </c>
      <c r="M112" s="10">
        <v>3</v>
      </c>
      <c r="N112" s="10">
        <v>2</v>
      </c>
      <c r="O112" s="10" t="s">
        <v>317</v>
      </c>
      <c r="P112" s="10">
        <v>10</v>
      </c>
      <c r="Q112" s="10">
        <v>4301301</v>
      </c>
      <c r="U112" s="10">
        <v>0</v>
      </c>
      <c r="V112" s="10">
        <v>5000</v>
      </c>
      <c r="W112" s="10">
        <v>230</v>
      </c>
      <c r="X112" s="10" t="s">
        <v>318</v>
      </c>
      <c r="Y112" s="10">
        <v>2920</v>
      </c>
      <c r="Z112" s="10">
        <f t="shared" si="9"/>
        <v>2970</v>
      </c>
      <c r="AA112" s="10">
        <v>22000</v>
      </c>
      <c r="AC112" s="10">
        <v>1</v>
      </c>
      <c r="AD112" s="10">
        <v>1</v>
      </c>
      <c r="AE112" s="10" t="s">
        <v>320</v>
      </c>
      <c r="AF112" s="41"/>
      <c r="AH112" s="6">
        <v>0</v>
      </c>
      <c r="AI112" s="6">
        <v>0</v>
      </c>
      <c r="AJ112" s="10">
        <v>0</v>
      </c>
      <c r="AK112" s="48">
        <v>0</v>
      </c>
    </row>
    <row r="113" s="10" customFormat="1" spans="1:37">
      <c r="A113" s="10">
        <v>4301303</v>
      </c>
      <c r="B113" s="10">
        <v>4301301</v>
      </c>
      <c r="C113" s="10" t="s">
        <v>314</v>
      </c>
      <c r="D113" s="10" t="s">
        <v>315</v>
      </c>
      <c r="E113" s="48">
        <v>4301301</v>
      </c>
      <c r="F113" s="10">
        <v>2</v>
      </c>
      <c r="G113" s="10">
        <v>3</v>
      </c>
      <c r="H113" s="10" t="s">
        <v>125</v>
      </c>
      <c r="I113" s="10">
        <v>2</v>
      </c>
      <c r="K113" s="10">
        <v>3</v>
      </c>
      <c r="L113" s="10">
        <v>100</v>
      </c>
      <c r="M113" s="10">
        <v>3</v>
      </c>
      <c r="N113" s="10">
        <v>2</v>
      </c>
      <c r="O113" s="10" t="s">
        <v>317</v>
      </c>
      <c r="P113" s="10">
        <v>10</v>
      </c>
      <c r="Q113" s="10">
        <v>4301301</v>
      </c>
      <c r="U113" s="10">
        <v>0</v>
      </c>
      <c r="V113" s="10">
        <v>5000</v>
      </c>
      <c r="W113" s="10">
        <v>230</v>
      </c>
      <c r="X113" s="10" t="s">
        <v>318</v>
      </c>
      <c r="Y113" s="10">
        <v>2920</v>
      </c>
      <c r="Z113" s="10">
        <f t="shared" si="9"/>
        <v>2970</v>
      </c>
      <c r="AA113" s="10">
        <v>17000</v>
      </c>
      <c r="AC113" s="10">
        <v>1</v>
      </c>
      <c r="AD113" s="10">
        <v>1</v>
      </c>
      <c r="AE113" s="10" t="s">
        <v>320</v>
      </c>
      <c r="AF113" s="41"/>
      <c r="AH113" s="6">
        <v>0</v>
      </c>
      <c r="AI113" s="6">
        <v>0</v>
      </c>
      <c r="AJ113" s="10">
        <v>0</v>
      </c>
      <c r="AK113" s="10">
        <v>0</v>
      </c>
    </row>
    <row r="114" s="3" customFormat="1" spans="1:37">
      <c r="A114" s="3">
        <v>4302101</v>
      </c>
      <c r="B114" s="3">
        <v>4302101</v>
      </c>
      <c r="C114" s="3" t="s">
        <v>87</v>
      </c>
      <c r="D114" s="3" t="s">
        <v>321</v>
      </c>
      <c r="F114" s="3">
        <v>1</v>
      </c>
      <c r="G114" s="3">
        <v>1</v>
      </c>
      <c r="I114" s="3">
        <v>1</v>
      </c>
      <c r="K114" s="3">
        <v>3</v>
      </c>
      <c r="L114" s="3">
        <v>65</v>
      </c>
      <c r="M114" s="3">
        <v>1</v>
      </c>
      <c r="N114" s="3">
        <v>1</v>
      </c>
      <c r="O114" s="3">
        <v>0</v>
      </c>
      <c r="P114" s="3">
        <v>1</v>
      </c>
      <c r="Q114" s="3">
        <v>4302101</v>
      </c>
      <c r="U114" s="3">
        <v>0</v>
      </c>
      <c r="V114" s="3">
        <v>10000</v>
      </c>
      <c r="W114" s="3">
        <f t="shared" si="8"/>
        <v>400</v>
      </c>
      <c r="X114" s="3">
        <v>500</v>
      </c>
      <c r="Y114" s="3">
        <v>670</v>
      </c>
      <c r="Z114" s="3">
        <f t="shared" si="9"/>
        <v>720</v>
      </c>
      <c r="AA114" s="3">
        <f>1000-Z114</f>
        <v>280</v>
      </c>
      <c r="AC114" s="3">
        <v>1</v>
      </c>
      <c r="AD114" s="3">
        <v>0</v>
      </c>
      <c r="AF114" s="41"/>
      <c r="AH114" s="3">
        <v>0</v>
      </c>
      <c r="AI114" s="3">
        <v>0</v>
      </c>
      <c r="AJ114" s="3">
        <v>0</v>
      </c>
      <c r="AK114" s="9">
        <v>0</v>
      </c>
    </row>
    <row r="115" s="10" customFormat="1" spans="1:37">
      <c r="A115" s="10">
        <v>4302201</v>
      </c>
      <c r="B115" s="10">
        <v>4302201</v>
      </c>
      <c r="C115" s="10" t="s">
        <v>322</v>
      </c>
      <c r="D115" s="10" t="s">
        <v>323</v>
      </c>
      <c r="E115" s="48">
        <v>4302201</v>
      </c>
      <c r="F115" s="10">
        <v>2</v>
      </c>
      <c r="G115" s="10">
        <v>1</v>
      </c>
      <c r="H115" s="10" t="s">
        <v>324</v>
      </c>
      <c r="I115" s="10">
        <v>2</v>
      </c>
      <c r="K115" s="10">
        <v>3</v>
      </c>
      <c r="L115" s="10">
        <v>100</v>
      </c>
      <c r="M115" s="10">
        <v>2</v>
      </c>
      <c r="N115" s="10">
        <v>2</v>
      </c>
      <c r="O115" s="10" t="s">
        <v>100</v>
      </c>
      <c r="P115" s="10">
        <v>5</v>
      </c>
      <c r="Q115" s="10">
        <v>4302201</v>
      </c>
      <c r="U115" s="10">
        <v>0</v>
      </c>
      <c r="V115" s="10">
        <v>10000</v>
      </c>
      <c r="W115" s="10">
        <f t="shared" si="8"/>
        <v>480</v>
      </c>
      <c r="X115" s="10">
        <v>580</v>
      </c>
      <c r="Y115" s="10">
        <v>790</v>
      </c>
      <c r="Z115" s="10">
        <f t="shared" si="9"/>
        <v>840</v>
      </c>
      <c r="AA115" s="10">
        <v>-1</v>
      </c>
      <c r="AB115" s="10" t="s">
        <v>325</v>
      </c>
      <c r="AC115" s="10">
        <v>1</v>
      </c>
      <c r="AD115" s="10">
        <v>1</v>
      </c>
      <c r="AE115" s="10" t="s">
        <v>326</v>
      </c>
      <c r="AF115" s="41"/>
      <c r="AH115" s="6">
        <v>0</v>
      </c>
      <c r="AI115" s="6">
        <v>0</v>
      </c>
      <c r="AJ115" s="10">
        <v>0</v>
      </c>
      <c r="AK115" s="10">
        <v>0</v>
      </c>
    </row>
    <row r="116" s="10" customFormat="1" spans="1:37">
      <c r="A116" s="10">
        <v>4302202</v>
      </c>
      <c r="B116" s="10">
        <v>4302201</v>
      </c>
      <c r="C116" s="10" t="s">
        <v>322</v>
      </c>
      <c r="D116" s="10" t="s">
        <v>323</v>
      </c>
      <c r="E116" s="48">
        <v>4302201</v>
      </c>
      <c r="F116" s="10">
        <v>2</v>
      </c>
      <c r="G116" s="10">
        <v>2</v>
      </c>
      <c r="H116" s="10" t="s">
        <v>327</v>
      </c>
      <c r="I116" s="10">
        <v>2</v>
      </c>
      <c r="K116" s="10">
        <v>3</v>
      </c>
      <c r="L116" s="10">
        <v>100</v>
      </c>
      <c r="M116" s="10">
        <v>2</v>
      </c>
      <c r="N116" s="10">
        <v>2</v>
      </c>
      <c r="O116" s="10" t="s">
        <v>100</v>
      </c>
      <c r="P116" s="10">
        <v>5</v>
      </c>
      <c r="Q116" s="10">
        <v>4302201</v>
      </c>
      <c r="U116" s="10">
        <v>0</v>
      </c>
      <c r="V116" s="10">
        <v>10000</v>
      </c>
      <c r="W116" s="10">
        <f t="shared" si="8"/>
        <v>480</v>
      </c>
      <c r="X116" s="10">
        <v>580</v>
      </c>
      <c r="Y116" s="10">
        <v>790</v>
      </c>
      <c r="Z116" s="10">
        <f t="shared" si="9"/>
        <v>840</v>
      </c>
      <c r="AA116" s="10">
        <v>-1</v>
      </c>
      <c r="AB116" s="10" t="s">
        <v>328</v>
      </c>
      <c r="AC116" s="10">
        <v>1</v>
      </c>
      <c r="AD116" s="10">
        <v>1</v>
      </c>
      <c r="AE116" s="10" t="s">
        <v>326</v>
      </c>
      <c r="AF116" s="41"/>
      <c r="AH116" s="6">
        <v>0</v>
      </c>
      <c r="AI116" s="6">
        <v>0</v>
      </c>
      <c r="AJ116" s="10">
        <v>0</v>
      </c>
      <c r="AK116" s="48">
        <v>0</v>
      </c>
    </row>
    <row r="117" s="10" customFormat="1" spans="1:37">
      <c r="A117" s="10">
        <v>4302203</v>
      </c>
      <c r="B117" s="10">
        <v>4302201</v>
      </c>
      <c r="C117" s="10" t="s">
        <v>322</v>
      </c>
      <c r="D117" s="10" t="s">
        <v>323</v>
      </c>
      <c r="E117" s="48">
        <v>4302201</v>
      </c>
      <c r="F117" s="10">
        <v>2</v>
      </c>
      <c r="G117" s="10">
        <v>3</v>
      </c>
      <c r="H117" s="10" t="s">
        <v>329</v>
      </c>
      <c r="I117" s="10">
        <v>2</v>
      </c>
      <c r="K117" s="10">
        <v>3</v>
      </c>
      <c r="L117" s="10">
        <v>100</v>
      </c>
      <c r="M117" s="10">
        <v>2</v>
      </c>
      <c r="N117" s="10">
        <v>2</v>
      </c>
      <c r="O117" s="10" t="s">
        <v>100</v>
      </c>
      <c r="P117" s="10">
        <v>5</v>
      </c>
      <c r="Q117" s="10">
        <v>4302201</v>
      </c>
      <c r="U117" s="10">
        <v>0</v>
      </c>
      <c r="V117" s="10">
        <v>10000</v>
      </c>
      <c r="W117" s="10">
        <f t="shared" si="8"/>
        <v>480</v>
      </c>
      <c r="X117" s="10">
        <v>580</v>
      </c>
      <c r="Y117" s="10">
        <v>790</v>
      </c>
      <c r="Z117" s="10">
        <f t="shared" si="9"/>
        <v>840</v>
      </c>
      <c r="AA117" s="10">
        <v>-1</v>
      </c>
      <c r="AB117" s="10" t="s">
        <v>328</v>
      </c>
      <c r="AC117" s="10">
        <v>1</v>
      </c>
      <c r="AD117" s="10">
        <v>1</v>
      </c>
      <c r="AE117" s="10" t="s">
        <v>330</v>
      </c>
      <c r="AF117" s="41"/>
      <c r="AH117" s="6">
        <v>0</v>
      </c>
      <c r="AI117" s="6">
        <v>0</v>
      </c>
      <c r="AJ117" s="10">
        <v>0</v>
      </c>
      <c r="AK117" s="10">
        <v>0</v>
      </c>
    </row>
    <row r="118" s="10" customFormat="1" spans="1:37">
      <c r="A118" s="10">
        <v>4302301</v>
      </c>
      <c r="B118" s="10">
        <v>4302301</v>
      </c>
      <c r="C118" s="10" t="s">
        <v>331</v>
      </c>
      <c r="D118" s="10" t="s">
        <v>332</v>
      </c>
      <c r="E118" s="48">
        <v>4302301</v>
      </c>
      <c r="F118" s="10">
        <v>2</v>
      </c>
      <c r="G118" s="10">
        <v>1</v>
      </c>
      <c r="H118" s="10" t="s">
        <v>333</v>
      </c>
      <c r="I118" s="10">
        <v>2</v>
      </c>
      <c r="K118" s="10">
        <v>3</v>
      </c>
      <c r="L118" s="10">
        <v>100</v>
      </c>
      <c r="M118" s="10">
        <v>3</v>
      </c>
      <c r="N118" s="10">
        <v>2</v>
      </c>
      <c r="O118" s="10" t="s">
        <v>317</v>
      </c>
      <c r="P118" s="10">
        <v>10</v>
      </c>
      <c r="Q118" s="10">
        <v>4302301</v>
      </c>
      <c r="U118" s="10">
        <v>0</v>
      </c>
      <c r="V118" s="10">
        <v>6500</v>
      </c>
      <c r="W118" s="10">
        <v>400</v>
      </c>
      <c r="X118" s="10" t="s">
        <v>334</v>
      </c>
      <c r="Y118" s="10">
        <v>1460</v>
      </c>
      <c r="Z118" s="10">
        <f t="shared" si="9"/>
        <v>1510</v>
      </c>
      <c r="AA118" s="10">
        <v>18000</v>
      </c>
      <c r="AC118" s="10">
        <v>1</v>
      </c>
      <c r="AD118" s="3">
        <v>0</v>
      </c>
      <c r="AF118" s="41"/>
      <c r="AH118" s="6">
        <v>1</v>
      </c>
      <c r="AI118" s="6" t="s">
        <v>335</v>
      </c>
      <c r="AJ118" s="10">
        <v>0</v>
      </c>
      <c r="AK118" s="48">
        <v>0</v>
      </c>
    </row>
    <row r="119" s="10" customFormat="1" spans="1:37">
      <c r="A119" s="10">
        <v>4302302</v>
      </c>
      <c r="B119" s="10">
        <v>4302301</v>
      </c>
      <c r="C119" s="10" t="s">
        <v>331</v>
      </c>
      <c r="D119" s="10" t="s">
        <v>332</v>
      </c>
      <c r="E119" s="48">
        <v>4302301</v>
      </c>
      <c r="F119" s="10">
        <v>2</v>
      </c>
      <c r="G119" s="10">
        <v>2</v>
      </c>
      <c r="H119" s="10" t="s">
        <v>336</v>
      </c>
      <c r="I119" s="10">
        <v>2</v>
      </c>
      <c r="K119" s="10">
        <v>3</v>
      </c>
      <c r="L119" s="10">
        <v>100</v>
      </c>
      <c r="M119" s="10">
        <v>3</v>
      </c>
      <c r="N119" s="10">
        <v>2</v>
      </c>
      <c r="O119" s="10" t="s">
        <v>317</v>
      </c>
      <c r="P119" s="10">
        <v>10</v>
      </c>
      <c r="Q119" s="10">
        <v>4302301</v>
      </c>
      <c r="U119" s="10">
        <v>0</v>
      </c>
      <c r="V119" s="10">
        <v>6500</v>
      </c>
      <c r="W119" s="10">
        <v>400</v>
      </c>
      <c r="X119" s="10" t="s">
        <v>334</v>
      </c>
      <c r="Y119" s="10">
        <v>1460</v>
      </c>
      <c r="Z119" s="10">
        <f t="shared" si="9"/>
        <v>1510</v>
      </c>
      <c r="AA119" s="10">
        <v>18000</v>
      </c>
      <c r="AC119" s="10">
        <v>1</v>
      </c>
      <c r="AD119" s="10">
        <v>1</v>
      </c>
      <c r="AE119" s="10" t="s">
        <v>320</v>
      </c>
      <c r="AF119" s="41"/>
      <c r="AH119" s="6">
        <v>1</v>
      </c>
      <c r="AI119" s="6" t="s">
        <v>335</v>
      </c>
      <c r="AJ119" s="10">
        <v>0</v>
      </c>
      <c r="AK119" s="10">
        <v>0</v>
      </c>
    </row>
    <row r="120" s="10" customFormat="1" spans="1:37">
      <c r="A120" s="10">
        <v>4302303</v>
      </c>
      <c r="B120" s="10">
        <v>4302301</v>
      </c>
      <c r="C120" s="10" t="s">
        <v>331</v>
      </c>
      <c r="D120" s="10" t="s">
        <v>332</v>
      </c>
      <c r="E120" s="48">
        <v>4302301</v>
      </c>
      <c r="F120" s="10">
        <v>2</v>
      </c>
      <c r="G120" s="10">
        <v>3</v>
      </c>
      <c r="H120" s="10" t="s">
        <v>125</v>
      </c>
      <c r="I120" s="10">
        <v>2</v>
      </c>
      <c r="K120" s="10">
        <v>3</v>
      </c>
      <c r="L120" s="10">
        <v>100</v>
      </c>
      <c r="M120" s="10">
        <v>3</v>
      </c>
      <c r="N120" s="10">
        <v>2</v>
      </c>
      <c r="O120" s="10" t="s">
        <v>317</v>
      </c>
      <c r="P120" s="10">
        <v>10</v>
      </c>
      <c r="Q120" s="10">
        <v>4302301</v>
      </c>
      <c r="U120" s="10">
        <v>0</v>
      </c>
      <c r="V120" s="10">
        <v>6500</v>
      </c>
      <c r="W120" s="10">
        <v>400</v>
      </c>
      <c r="X120" s="10" t="s">
        <v>334</v>
      </c>
      <c r="Y120" s="10">
        <v>1460</v>
      </c>
      <c r="Z120" s="10">
        <f t="shared" si="9"/>
        <v>1510</v>
      </c>
      <c r="AA120" s="10">
        <v>13000</v>
      </c>
      <c r="AC120" s="10">
        <v>1</v>
      </c>
      <c r="AD120" s="10">
        <v>1</v>
      </c>
      <c r="AE120" s="10" t="s">
        <v>320</v>
      </c>
      <c r="AF120" s="41"/>
      <c r="AH120" s="6">
        <v>1</v>
      </c>
      <c r="AI120" s="6" t="s">
        <v>335</v>
      </c>
      <c r="AJ120" s="10">
        <v>0</v>
      </c>
      <c r="AK120" s="48">
        <v>0</v>
      </c>
    </row>
    <row r="121" s="3" customFormat="1" spans="1:37">
      <c r="A121" s="3">
        <v>4303101</v>
      </c>
      <c r="B121" s="3">
        <v>4303101</v>
      </c>
      <c r="C121" s="3" t="s">
        <v>87</v>
      </c>
      <c r="D121" s="3" t="s">
        <v>337</v>
      </c>
      <c r="F121" s="3">
        <v>1</v>
      </c>
      <c r="G121" s="3">
        <v>1</v>
      </c>
      <c r="I121" s="3">
        <v>7</v>
      </c>
      <c r="J121" s="3" t="s">
        <v>338</v>
      </c>
      <c r="K121" s="3">
        <v>3</v>
      </c>
      <c r="L121" s="3">
        <v>350</v>
      </c>
      <c r="M121" s="3">
        <v>1</v>
      </c>
      <c r="N121" s="3">
        <v>1</v>
      </c>
      <c r="O121" s="3">
        <v>0</v>
      </c>
      <c r="P121" s="3">
        <v>1</v>
      </c>
      <c r="Q121" s="3">
        <v>4303101</v>
      </c>
      <c r="U121" s="3">
        <v>0</v>
      </c>
      <c r="V121" s="3">
        <v>10000</v>
      </c>
      <c r="W121" s="3">
        <f t="shared" si="8"/>
        <v>70</v>
      </c>
      <c r="X121" s="3">
        <v>170</v>
      </c>
      <c r="Y121" s="3">
        <v>420</v>
      </c>
      <c r="Z121" s="3">
        <f t="shared" si="9"/>
        <v>470</v>
      </c>
      <c r="AA121" s="3">
        <f>1000-Z121</f>
        <v>530</v>
      </c>
      <c r="AC121" s="3">
        <v>2</v>
      </c>
      <c r="AD121" s="3">
        <v>0</v>
      </c>
      <c r="AF121" s="41"/>
      <c r="AH121" s="3">
        <v>0</v>
      </c>
      <c r="AI121" s="3">
        <v>0</v>
      </c>
      <c r="AJ121" s="3">
        <v>0</v>
      </c>
      <c r="AK121" s="3">
        <v>0</v>
      </c>
    </row>
    <row r="122" s="10" customFormat="1" spans="1:37">
      <c r="A122" s="10">
        <v>4303201</v>
      </c>
      <c r="B122" s="10">
        <v>4303201</v>
      </c>
      <c r="C122" s="49" t="s">
        <v>339</v>
      </c>
      <c r="D122" s="49" t="s">
        <v>340</v>
      </c>
      <c r="E122" s="48">
        <v>4303201</v>
      </c>
      <c r="F122" s="10">
        <v>2</v>
      </c>
      <c r="G122" s="10">
        <v>1</v>
      </c>
      <c r="H122" s="10" t="s">
        <v>341</v>
      </c>
      <c r="I122" s="10">
        <v>7</v>
      </c>
      <c r="J122" s="10" t="s">
        <v>342</v>
      </c>
      <c r="K122" s="10">
        <v>3</v>
      </c>
      <c r="L122" s="10">
        <v>350</v>
      </c>
      <c r="M122" s="10">
        <v>2</v>
      </c>
      <c r="N122" s="10">
        <v>2</v>
      </c>
      <c r="O122" s="10" t="s">
        <v>311</v>
      </c>
      <c r="P122" s="10">
        <v>1</v>
      </c>
      <c r="Q122" s="10">
        <v>4303201</v>
      </c>
      <c r="U122" s="10">
        <v>0</v>
      </c>
      <c r="V122" s="10">
        <v>3500</v>
      </c>
      <c r="W122" s="10">
        <f t="shared" si="8"/>
        <v>320</v>
      </c>
      <c r="X122" s="10">
        <v>420</v>
      </c>
      <c r="Y122" s="10">
        <v>750</v>
      </c>
      <c r="Z122" s="10">
        <f t="shared" si="9"/>
        <v>800</v>
      </c>
      <c r="AA122" s="10">
        <v>-1</v>
      </c>
      <c r="AB122" s="10" t="s">
        <v>133</v>
      </c>
      <c r="AC122" s="10">
        <v>2</v>
      </c>
      <c r="AD122" s="3">
        <v>0</v>
      </c>
      <c r="AF122" s="41"/>
      <c r="AH122" s="6">
        <v>0</v>
      </c>
      <c r="AI122" s="6">
        <v>0</v>
      </c>
      <c r="AJ122" s="10">
        <v>0</v>
      </c>
      <c r="AK122" s="48">
        <v>0</v>
      </c>
    </row>
    <row r="123" s="10" customFormat="1" spans="1:37">
      <c r="A123" s="10">
        <v>4303202</v>
      </c>
      <c r="B123" s="10">
        <v>4303201</v>
      </c>
      <c r="C123" s="49" t="s">
        <v>339</v>
      </c>
      <c r="D123" s="49" t="s">
        <v>340</v>
      </c>
      <c r="E123" s="48">
        <v>4303201</v>
      </c>
      <c r="F123" s="10">
        <v>2</v>
      </c>
      <c r="G123" s="10">
        <v>2</v>
      </c>
      <c r="H123" s="10" t="s">
        <v>343</v>
      </c>
      <c r="I123" s="10">
        <v>7</v>
      </c>
      <c r="J123" s="10" t="s">
        <v>344</v>
      </c>
      <c r="K123" s="10">
        <v>3</v>
      </c>
      <c r="L123" s="10">
        <v>350</v>
      </c>
      <c r="M123" s="10">
        <v>2</v>
      </c>
      <c r="N123" s="10">
        <v>2</v>
      </c>
      <c r="O123" s="10" t="s">
        <v>311</v>
      </c>
      <c r="P123" s="10">
        <v>1</v>
      </c>
      <c r="Q123" s="10">
        <v>4303201</v>
      </c>
      <c r="U123" s="10">
        <v>0</v>
      </c>
      <c r="V123" s="10">
        <v>3500</v>
      </c>
      <c r="W123" s="10">
        <f t="shared" si="8"/>
        <v>320</v>
      </c>
      <c r="X123" s="10">
        <v>420</v>
      </c>
      <c r="Y123" s="10">
        <v>750</v>
      </c>
      <c r="Z123" s="10">
        <f t="shared" si="9"/>
        <v>800</v>
      </c>
      <c r="AA123" s="10">
        <v>-1</v>
      </c>
      <c r="AB123" s="10" t="s">
        <v>133</v>
      </c>
      <c r="AC123" s="10">
        <v>2</v>
      </c>
      <c r="AD123" s="3">
        <v>0</v>
      </c>
      <c r="AF123" s="41"/>
      <c r="AH123" s="6">
        <v>0</v>
      </c>
      <c r="AI123" s="6">
        <v>0</v>
      </c>
      <c r="AJ123" s="10">
        <v>0</v>
      </c>
      <c r="AK123" s="10">
        <v>0</v>
      </c>
    </row>
    <row r="124" s="10" customFormat="1" spans="1:37">
      <c r="A124" s="10">
        <v>4303203</v>
      </c>
      <c r="B124" s="10">
        <v>4303201</v>
      </c>
      <c r="C124" s="49" t="s">
        <v>339</v>
      </c>
      <c r="D124" s="49" t="s">
        <v>340</v>
      </c>
      <c r="E124" s="48">
        <v>4303201</v>
      </c>
      <c r="F124" s="10">
        <v>2</v>
      </c>
      <c r="G124" s="10">
        <v>3</v>
      </c>
      <c r="H124" s="10" t="s">
        <v>345</v>
      </c>
      <c r="I124" s="10">
        <v>7</v>
      </c>
      <c r="J124" s="10" t="s">
        <v>344</v>
      </c>
      <c r="K124" s="10">
        <v>3</v>
      </c>
      <c r="L124" s="10">
        <v>350</v>
      </c>
      <c r="M124" s="10">
        <v>2</v>
      </c>
      <c r="N124" s="10">
        <v>2</v>
      </c>
      <c r="O124" s="10" t="s">
        <v>311</v>
      </c>
      <c r="P124" s="10">
        <v>2</v>
      </c>
      <c r="Q124" s="10">
        <v>4303201</v>
      </c>
      <c r="U124" s="10">
        <v>0</v>
      </c>
      <c r="V124" s="10">
        <v>3500</v>
      </c>
      <c r="W124" s="10">
        <f t="shared" si="8"/>
        <v>320</v>
      </c>
      <c r="X124" s="10">
        <v>420</v>
      </c>
      <c r="Y124" s="10">
        <v>750</v>
      </c>
      <c r="Z124" s="10">
        <f t="shared" si="9"/>
        <v>800</v>
      </c>
      <c r="AA124" s="10">
        <v>-1</v>
      </c>
      <c r="AB124" s="10" t="s">
        <v>133</v>
      </c>
      <c r="AC124" s="10">
        <v>2</v>
      </c>
      <c r="AD124" s="3">
        <v>0</v>
      </c>
      <c r="AF124" s="41"/>
      <c r="AH124" s="6">
        <v>0</v>
      </c>
      <c r="AI124" s="6">
        <v>0</v>
      </c>
      <c r="AJ124" s="10">
        <v>0</v>
      </c>
      <c r="AK124" s="48">
        <v>0</v>
      </c>
    </row>
    <row r="125" s="10" customFormat="1" spans="1:37">
      <c r="A125" s="10">
        <v>4303301</v>
      </c>
      <c r="B125" s="10">
        <v>4303301</v>
      </c>
      <c r="C125" s="10" t="s">
        <v>346</v>
      </c>
      <c r="D125" s="10" t="s">
        <v>347</v>
      </c>
      <c r="E125" s="48">
        <v>4303301</v>
      </c>
      <c r="F125" s="10">
        <v>2</v>
      </c>
      <c r="G125" s="10">
        <v>1</v>
      </c>
      <c r="H125" s="10" t="s">
        <v>348</v>
      </c>
      <c r="I125" s="10">
        <v>4</v>
      </c>
      <c r="K125" s="10">
        <v>1</v>
      </c>
      <c r="L125" s="10">
        <v>350</v>
      </c>
      <c r="M125" s="10">
        <v>3</v>
      </c>
      <c r="N125" s="10">
        <v>1</v>
      </c>
      <c r="O125" s="10">
        <v>0</v>
      </c>
      <c r="P125" s="10">
        <v>1</v>
      </c>
      <c r="Q125" s="10">
        <v>4303301</v>
      </c>
      <c r="U125" s="10">
        <v>0</v>
      </c>
      <c r="V125" s="10">
        <v>10000</v>
      </c>
      <c r="W125" s="10">
        <f t="shared" si="8"/>
        <v>150</v>
      </c>
      <c r="X125" s="10">
        <v>250</v>
      </c>
      <c r="Y125" s="10">
        <v>750</v>
      </c>
      <c r="Z125" s="10">
        <f t="shared" si="9"/>
        <v>800</v>
      </c>
      <c r="AA125" s="10">
        <v>20000</v>
      </c>
      <c r="AC125" s="10">
        <v>2</v>
      </c>
      <c r="AD125" s="10">
        <v>1</v>
      </c>
      <c r="AE125" s="10" t="s">
        <v>349</v>
      </c>
      <c r="AF125" s="41"/>
      <c r="AH125" s="6">
        <v>0</v>
      </c>
      <c r="AI125" s="6">
        <v>0</v>
      </c>
      <c r="AJ125" s="10">
        <v>0</v>
      </c>
      <c r="AK125" s="10">
        <v>0</v>
      </c>
    </row>
    <row r="126" s="10" customFormat="1" spans="1:37">
      <c r="A126" s="10">
        <v>4303302</v>
      </c>
      <c r="B126" s="10">
        <v>4303301</v>
      </c>
      <c r="C126" s="10" t="s">
        <v>346</v>
      </c>
      <c r="D126" s="10" t="s">
        <v>347</v>
      </c>
      <c r="E126" s="48">
        <v>4303301</v>
      </c>
      <c r="F126" s="10">
        <v>2</v>
      </c>
      <c r="G126" s="10">
        <v>2</v>
      </c>
      <c r="H126" s="10" t="s">
        <v>291</v>
      </c>
      <c r="I126" s="10">
        <v>4</v>
      </c>
      <c r="K126" s="10">
        <v>1</v>
      </c>
      <c r="L126" s="10">
        <v>350</v>
      </c>
      <c r="M126" s="10">
        <v>3</v>
      </c>
      <c r="N126" s="10">
        <v>1</v>
      </c>
      <c r="O126" s="10">
        <v>0</v>
      </c>
      <c r="P126" s="10">
        <v>1</v>
      </c>
      <c r="Q126" s="10">
        <v>4303301</v>
      </c>
      <c r="U126" s="10">
        <v>0</v>
      </c>
      <c r="V126" s="10">
        <v>10000</v>
      </c>
      <c r="W126" s="10">
        <f t="shared" si="8"/>
        <v>150</v>
      </c>
      <c r="X126" s="10">
        <v>250</v>
      </c>
      <c r="Y126" s="10">
        <v>750</v>
      </c>
      <c r="Z126" s="10">
        <f t="shared" si="9"/>
        <v>800</v>
      </c>
      <c r="AA126" s="10">
        <v>20000</v>
      </c>
      <c r="AC126" s="10">
        <v>2</v>
      </c>
      <c r="AD126" s="10">
        <v>1</v>
      </c>
      <c r="AE126" s="10" t="s">
        <v>350</v>
      </c>
      <c r="AF126" s="41"/>
      <c r="AH126" s="6">
        <v>0</v>
      </c>
      <c r="AI126" s="6">
        <v>0</v>
      </c>
      <c r="AJ126" s="10">
        <v>0</v>
      </c>
      <c r="AK126" s="48">
        <v>0</v>
      </c>
    </row>
    <row r="127" s="10" customFormat="1" ht="15" spans="1:37">
      <c r="A127" s="10">
        <v>4303303</v>
      </c>
      <c r="B127" s="10">
        <v>4303301</v>
      </c>
      <c r="C127" s="10" t="s">
        <v>346</v>
      </c>
      <c r="D127" s="10" t="s">
        <v>347</v>
      </c>
      <c r="E127" s="48">
        <v>4303301</v>
      </c>
      <c r="F127" s="10">
        <v>2</v>
      </c>
      <c r="G127" s="10">
        <v>3</v>
      </c>
      <c r="H127" s="10" t="s">
        <v>291</v>
      </c>
      <c r="I127" s="10">
        <v>4</v>
      </c>
      <c r="K127" s="10">
        <v>1</v>
      </c>
      <c r="L127" s="10">
        <v>350</v>
      </c>
      <c r="M127" s="10">
        <v>3</v>
      </c>
      <c r="N127" s="10">
        <v>1</v>
      </c>
      <c r="O127" s="10">
        <v>0</v>
      </c>
      <c r="P127" s="10">
        <v>1</v>
      </c>
      <c r="Q127" s="10">
        <v>4303301</v>
      </c>
      <c r="U127" s="10">
        <v>0</v>
      </c>
      <c r="V127" s="10">
        <v>10000</v>
      </c>
      <c r="W127" s="10">
        <f t="shared" si="8"/>
        <v>150</v>
      </c>
      <c r="X127" s="10">
        <v>250</v>
      </c>
      <c r="Y127" s="10">
        <v>750</v>
      </c>
      <c r="Z127" s="10">
        <f t="shared" si="9"/>
        <v>800</v>
      </c>
      <c r="AA127" s="10">
        <v>20000</v>
      </c>
      <c r="AC127" s="10">
        <v>2</v>
      </c>
      <c r="AD127" s="10">
        <v>1</v>
      </c>
      <c r="AE127" s="10" t="s">
        <v>351</v>
      </c>
      <c r="AF127" s="41"/>
      <c r="AH127" s="6">
        <v>0</v>
      </c>
      <c r="AI127" s="6">
        <v>0</v>
      </c>
      <c r="AJ127" s="10">
        <v>0</v>
      </c>
      <c r="AK127" s="10">
        <v>0</v>
      </c>
    </row>
    <row r="128" s="11" customFormat="1" spans="1:37">
      <c r="A128" s="3">
        <v>4304101</v>
      </c>
      <c r="B128" s="11">
        <v>4306101</v>
      </c>
      <c r="C128" s="11" t="s">
        <v>87</v>
      </c>
      <c r="D128" s="11" t="s">
        <v>352</v>
      </c>
      <c r="F128" s="11">
        <v>1</v>
      </c>
      <c r="G128" s="11">
        <v>1</v>
      </c>
      <c r="I128" s="11">
        <v>1</v>
      </c>
      <c r="K128" s="11">
        <v>3</v>
      </c>
      <c r="L128" s="11">
        <v>100</v>
      </c>
      <c r="M128" s="11">
        <v>1</v>
      </c>
      <c r="N128" s="11">
        <v>1</v>
      </c>
      <c r="O128" s="11">
        <v>0</v>
      </c>
      <c r="P128" s="11">
        <v>1</v>
      </c>
      <c r="Q128" s="11">
        <v>4306101</v>
      </c>
      <c r="U128" s="11">
        <v>0</v>
      </c>
      <c r="V128" s="11">
        <v>10000</v>
      </c>
      <c r="W128" s="11">
        <v>0</v>
      </c>
      <c r="X128" s="11">
        <v>480</v>
      </c>
      <c r="Y128" s="11">
        <v>580</v>
      </c>
      <c r="Z128" s="11">
        <f t="shared" si="9"/>
        <v>630</v>
      </c>
      <c r="AA128" s="11">
        <v>450</v>
      </c>
      <c r="AC128" s="11">
        <v>1</v>
      </c>
      <c r="AD128" s="3">
        <v>0</v>
      </c>
      <c r="AF128" s="42"/>
      <c r="AH128" s="11">
        <v>0</v>
      </c>
      <c r="AI128" s="11">
        <v>0</v>
      </c>
      <c r="AJ128" s="11">
        <v>0</v>
      </c>
      <c r="AK128" s="11">
        <v>0</v>
      </c>
    </row>
    <row r="129" s="6" customFormat="1" spans="1:37">
      <c r="A129" s="6">
        <v>4304201</v>
      </c>
      <c r="B129" s="6">
        <v>4306201</v>
      </c>
      <c r="C129" s="6" t="s">
        <v>353</v>
      </c>
      <c r="D129" s="6" t="s">
        <v>354</v>
      </c>
      <c r="E129" s="6">
        <v>4306201</v>
      </c>
      <c r="F129" s="6">
        <v>2</v>
      </c>
      <c r="G129" s="6">
        <v>1</v>
      </c>
      <c r="H129" s="6" t="s">
        <v>355</v>
      </c>
      <c r="I129" s="6">
        <v>2</v>
      </c>
      <c r="K129" s="6">
        <v>3</v>
      </c>
      <c r="L129" s="6">
        <v>100</v>
      </c>
      <c r="M129" s="6">
        <v>2</v>
      </c>
      <c r="N129" s="6">
        <v>1</v>
      </c>
      <c r="O129" s="6" t="s">
        <v>356</v>
      </c>
      <c r="P129" s="6">
        <v>5</v>
      </c>
      <c r="Q129" s="6">
        <v>4306201</v>
      </c>
      <c r="U129" s="6">
        <v>0</v>
      </c>
      <c r="V129" s="6">
        <v>10000</v>
      </c>
      <c r="W129" s="6">
        <v>0</v>
      </c>
      <c r="X129" s="6">
        <v>170</v>
      </c>
      <c r="Y129" s="6">
        <v>500</v>
      </c>
      <c r="Z129" s="6">
        <f t="shared" si="9"/>
        <v>550</v>
      </c>
      <c r="AA129" s="6">
        <v>14500</v>
      </c>
      <c r="AC129" s="6">
        <v>1</v>
      </c>
      <c r="AD129" s="3">
        <v>0</v>
      </c>
      <c r="AE129" s="10"/>
      <c r="AF129" s="41"/>
      <c r="AH129" s="6">
        <v>3</v>
      </c>
      <c r="AI129" s="6" t="s">
        <v>357</v>
      </c>
      <c r="AJ129" s="6">
        <v>0</v>
      </c>
      <c r="AK129" s="6">
        <v>0</v>
      </c>
    </row>
    <row r="130" s="6" customFormat="1" spans="1:37">
      <c r="A130" s="6">
        <v>4304202</v>
      </c>
      <c r="B130" s="6">
        <v>4306201</v>
      </c>
      <c r="C130" s="6" t="s">
        <v>353</v>
      </c>
      <c r="D130" s="6" t="s">
        <v>354</v>
      </c>
      <c r="E130" s="6">
        <v>4306201</v>
      </c>
      <c r="F130" s="6">
        <v>2</v>
      </c>
      <c r="G130" s="6">
        <v>2</v>
      </c>
      <c r="H130" s="6" t="s">
        <v>246</v>
      </c>
      <c r="I130" s="6">
        <v>2</v>
      </c>
      <c r="K130" s="6">
        <v>3</v>
      </c>
      <c r="L130" s="6">
        <v>100</v>
      </c>
      <c r="M130" s="6">
        <v>2</v>
      </c>
      <c r="N130" s="6">
        <v>1</v>
      </c>
      <c r="O130" s="6" t="s">
        <v>356</v>
      </c>
      <c r="P130" s="6">
        <v>5</v>
      </c>
      <c r="Q130" s="6">
        <v>4306201</v>
      </c>
      <c r="U130" s="6">
        <v>0</v>
      </c>
      <c r="V130" s="6">
        <v>10000</v>
      </c>
      <c r="W130" s="6">
        <v>0</v>
      </c>
      <c r="X130" s="6">
        <v>170</v>
      </c>
      <c r="Y130" s="6">
        <v>500</v>
      </c>
      <c r="Z130" s="6">
        <f t="shared" si="9"/>
        <v>550</v>
      </c>
      <c r="AA130" s="6">
        <v>9500</v>
      </c>
      <c r="AC130" s="6">
        <v>1</v>
      </c>
      <c r="AD130" s="3">
        <v>0</v>
      </c>
      <c r="AE130" s="10"/>
      <c r="AF130" s="41"/>
      <c r="AH130" s="6">
        <v>3</v>
      </c>
      <c r="AI130" s="6" t="s">
        <v>357</v>
      </c>
      <c r="AJ130" s="6">
        <v>0</v>
      </c>
      <c r="AK130" s="6">
        <v>0</v>
      </c>
    </row>
    <row r="131" s="6" customFormat="1" spans="1:37">
      <c r="A131" s="6">
        <v>4304203</v>
      </c>
      <c r="B131" s="6">
        <v>4306201</v>
      </c>
      <c r="C131" s="6" t="s">
        <v>353</v>
      </c>
      <c r="D131" s="6" t="s">
        <v>354</v>
      </c>
      <c r="E131" s="6">
        <v>4306201</v>
      </c>
      <c r="F131" s="6">
        <v>2</v>
      </c>
      <c r="G131" s="6">
        <v>3</v>
      </c>
      <c r="H131" s="6" t="s">
        <v>358</v>
      </c>
      <c r="I131" s="6">
        <v>2</v>
      </c>
      <c r="K131" s="6">
        <v>3</v>
      </c>
      <c r="L131" s="6">
        <v>100</v>
      </c>
      <c r="M131" s="6">
        <v>2</v>
      </c>
      <c r="N131" s="6">
        <v>1</v>
      </c>
      <c r="O131" s="6" t="s">
        <v>356</v>
      </c>
      <c r="P131" s="6">
        <v>5</v>
      </c>
      <c r="Q131" s="6">
        <v>4306201</v>
      </c>
      <c r="U131" s="6">
        <v>0</v>
      </c>
      <c r="V131" s="6">
        <v>10000</v>
      </c>
      <c r="W131" s="6">
        <v>0</v>
      </c>
      <c r="X131" s="6">
        <v>170</v>
      </c>
      <c r="Y131" s="6">
        <v>500</v>
      </c>
      <c r="Z131" s="6">
        <f t="shared" si="9"/>
        <v>550</v>
      </c>
      <c r="AA131" s="6">
        <v>9500</v>
      </c>
      <c r="AC131" s="6">
        <v>1</v>
      </c>
      <c r="AD131" s="6">
        <v>1</v>
      </c>
      <c r="AE131" s="10" t="s">
        <v>359</v>
      </c>
      <c r="AF131" s="41"/>
      <c r="AH131" s="6">
        <v>3</v>
      </c>
      <c r="AI131" s="6" t="s">
        <v>357</v>
      </c>
      <c r="AJ131" s="6">
        <v>0</v>
      </c>
      <c r="AK131" s="6">
        <v>0</v>
      </c>
    </row>
    <row r="132" s="6" customFormat="1" spans="1:37">
      <c r="A132" s="6">
        <v>4304301</v>
      </c>
      <c r="B132" s="6">
        <v>4306301</v>
      </c>
      <c r="C132" s="6" t="s">
        <v>360</v>
      </c>
      <c r="D132" s="6" t="s">
        <v>361</v>
      </c>
      <c r="E132" s="6">
        <v>4306301</v>
      </c>
      <c r="F132" s="6">
        <v>2</v>
      </c>
      <c r="G132" s="6">
        <v>1</v>
      </c>
      <c r="H132" s="6" t="s">
        <v>362</v>
      </c>
      <c r="I132" s="6">
        <v>4</v>
      </c>
      <c r="K132" s="6">
        <v>3</v>
      </c>
      <c r="L132" s="6">
        <v>350</v>
      </c>
      <c r="M132" s="6">
        <v>3</v>
      </c>
      <c r="N132" s="6">
        <v>2</v>
      </c>
      <c r="O132" s="6" t="s">
        <v>363</v>
      </c>
      <c r="P132" s="6">
        <v>5</v>
      </c>
      <c r="Q132" s="6">
        <v>4306301</v>
      </c>
      <c r="U132" s="6">
        <v>0</v>
      </c>
      <c r="V132" s="6">
        <v>0</v>
      </c>
      <c r="W132" s="6">
        <v>0</v>
      </c>
      <c r="X132" s="6">
        <v>400</v>
      </c>
      <c r="Y132" s="6">
        <v>500</v>
      </c>
      <c r="Z132" s="6">
        <v>1500</v>
      </c>
      <c r="AA132" s="6">
        <v>25000</v>
      </c>
      <c r="AC132" s="6">
        <v>1</v>
      </c>
      <c r="AD132" s="6">
        <v>1</v>
      </c>
      <c r="AE132" s="6" t="s">
        <v>364</v>
      </c>
      <c r="AF132" s="41"/>
      <c r="AH132" s="6">
        <v>0</v>
      </c>
      <c r="AI132" s="6">
        <v>0</v>
      </c>
      <c r="AJ132" s="6">
        <v>0</v>
      </c>
      <c r="AK132" s="6">
        <v>0</v>
      </c>
    </row>
    <row r="133" s="6" customFormat="1" spans="1:37">
      <c r="A133" s="6">
        <v>4304302</v>
      </c>
      <c r="B133" s="6">
        <v>4306301</v>
      </c>
      <c r="C133" s="6" t="s">
        <v>360</v>
      </c>
      <c r="D133" s="6" t="s">
        <v>361</v>
      </c>
      <c r="E133" s="6">
        <v>4306301</v>
      </c>
      <c r="F133" s="6">
        <v>2</v>
      </c>
      <c r="G133" s="6">
        <v>2</v>
      </c>
      <c r="H133" s="6" t="s">
        <v>365</v>
      </c>
      <c r="I133" s="6">
        <v>4</v>
      </c>
      <c r="K133" s="6">
        <v>3</v>
      </c>
      <c r="L133" s="6">
        <v>350</v>
      </c>
      <c r="M133" s="6">
        <v>3</v>
      </c>
      <c r="N133" s="6">
        <v>2</v>
      </c>
      <c r="O133" s="6" t="s">
        <v>363</v>
      </c>
      <c r="P133" s="6">
        <v>5</v>
      </c>
      <c r="Q133" s="6">
        <v>4306301</v>
      </c>
      <c r="U133" s="6">
        <v>0</v>
      </c>
      <c r="V133" s="6">
        <v>0</v>
      </c>
      <c r="W133" s="6">
        <v>0</v>
      </c>
      <c r="X133" s="6">
        <v>400</v>
      </c>
      <c r="Y133" s="6">
        <v>500</v>
      </c>
      <c r="Z133" s="6">
        <v>1500</v>
      </c>
      <c r="AA133" s="6">
        <v>25000</v>
      </c>
      <c r="AC133" s="6">
        <v>1</v>
      </c>
      <c r="AD133" s="6">
        <v>1</v>
      </c>
      <c r="AE133" s="6" t="s">
        <v>364</v>
      </c>
      <c r="AF133" s="41"/>
      <c r="AH133" s="6">
        <v>0</v>
      </c>
      <c r="AI133" s="6">
        <v>0</v>
      </c>
      <c r="AJ133" s="6">
        <v>0</v>
      </c>
      <c r="AK133" s="6">
        <v>0</v>
      </c>
    </row>
    <row r="134" s="12" customFormat="1" ht="15" spans="1:37">
      <c r="A134" s="6">
        <v>4304303</v>
      </c>
      <c r="B134" s="12">
        <v>4306301</v>
      </c>
      <c r="C134" s="12" t="s">
        <v>360</v>
      </c>
      <c r="D134" s="12" t="s">
        <v>361</v>
      </c>
      <c r="E134" s="12">
        <v>4306301</v>
      </c>
      <c r="F134" s="12">
        <v>2</v>
      </c>
      <c r="G134" s="12">
        <v>3</v>
      </c>
      <c r="H134" s="12" t="s">
        <v>366</v>
      </c>
      <c r="I134" s="12">
        <v>4</v>
      </c>
      <c r="K134" s="12">
        <v>3</v>
      </c>
      <c r="L134" s="6">
        <v>350</v>
      </c>
      <c r="M134" s="12">
        <v>3</v>
      </c>
      <c r="N134" s="12">
        <v>2</v>
      </c>
      <c r="O134" s="12" t="s">
        <v>363</v>
      </c>
      <c r="P134" s="12">
        <v>5</v>
      </c>
      <c r="Q134" s="12">
        <v>4306301</v>
      </c>
      <c r="U134" s="12">
        <v>0</v>
      </c>
      <c r="V134" s="12">
        <v>0</v>
      </c>
      <c r="W134" s="12">
        <v>0</v>
      </c>
      <c r="X134" s="12">
        <v>400</v>
      </c>
      <c r="Y134" s="12">
        <v>500</v>
      </c>
      <c r="Z134" s="12">
        <v>1500</v>
      </c>
      <c r="AA134" s="6">
        <v>25000</v>
      </c>
      <c r="AC134" s="12">
        <v>1</v>
      </c>
      <c r="AD134" s="6">
        <v>1</v>
      </c>
      <c r="AE134" s="6" t="s">
        <v>364</v>
      </c>
      <c r="AF134" s="43"/>
      <c r="AH134" s="12">
        <v>0</v>
      </c>
      <c r="AI134" s="12">
        <v>0</v>
      </c>
      <c r="AJ134" s="12">
        <v>0</v>
      </c>
      <c r="AK134" s="12">
        <v>0</v>
      </c>
    </row>
    <row r="135" s="3" customFormat="1" spans="1:37">
      <c r="A135" s="3">
        <v>4305101</v>
      </c>
      <c r="B135" s="3">
        <v>4305101</v>
      </c>
      <c r="C135" s="3" t="s">
        <v>87</v>
      </c>
      <c r="D135" s="3" t="s">
        <v>367</v>
      </c>
      <c r="F135" s="3">
        <v>1</v>
      </c>
      <c r="G135" s="3">
        <v>1</v>
      </c>
      <c r="I135" s="3">
        <v>1</v>
      </c>
      <c r="K135" s="3">
        <v>3</v>
      </c>
      <c r="L135" s="3">
        <v>65</v>
      </c>
      <c r="M135" s="3">
        <v>1</v>
      </c>
      <c r="N135" s="3">
        <v>1</v>
      </c>
      <c r="O135" s="3">
        <v>0</v>
      </c>
      <c r="P135" s="3">
        <v>1</v>
      </c>
      <c r="Q135" s="3">
        <v>4305101</v>
      </c>
      <c r="U135" s="3">
        <v>0</v>
      </c>
      <c r="V135" s="3">
        <v>10000</v>
      </c>
      <c r="W135" s="3">
        <f>X135-100</f>
        <v>250</v>
      </c>
      <c r="X135" s="3">
        <v>350</v>
      </c>
      <c r="Y135" s="3">
        <v>560</v>
      </c>
      <c r="Z135" s="3">
        <f t="shared" ref="Z135:Z141" si="10">Y135+50</f>
        <v>610</v>
      </c>
      <c r="AA135" s="3">
        <f>1000-Z135</f>
        <v>390</v>
      </c>
      <c r="AC135" s="3">
        <v>1</v>
      </c>
      <c r="AD135" s="3">
        <v>0</v>
      </c>
      <c r="AF135" s="41"/>
      <c r="AH135" s="3">
        <v>0</v>
      </c>
      <c r="AI135" s="3">
        <v>0</v>
      </c>
      <c r="AJ135" s="3">
        <v>0</v>
      </c>
      <c r="AK135" s="3">
        <v>0</v>
      </c>
    </row>
    <row r="136" s="6" customFormat="1" spans="1:37">
      <c r="A136" s="6">
        <v>4305201</v>
      </c>
      <c r="B136" s="6">
        <v>4305201</v>
      </c>
      <c r="C136" s="6" t="s">
        <v>368</v>
      </c>
      <c r="D136" s="6" t="s">
        <v>369</v>
      </c>
      <c r="E136" s="6">
        <v>4305201</v>
      </c>
      <c r="F136" s="6">
        <v>2</v>
      </c>
      <c r="G136" s="6">
        <v>1</v>
      </c>
      <c r="H136" s="6" t="s">
        <v>370</v>
      </c>
      <c r="I136" s="6">
        <v>7</v>
      </c>
      <c r="J136" s="6" t="s">
        <v>371</v>
      </c>
      <c r="K136" s="6">
        <v>3</v>
      </c>
      <c r="L136" s="6">
        <v>200</v>
      </c>
      <c r="M136" s="6">
        <v>2</v>
      </c>
      <c r="N136" s="6">
        <v>1</v>
      </c>
      <c r="O136" s="6">
        <v>0</v>
      </c>
      <c r="P136" s="6">
        <v>5</v>
      </c>
      <c r="Q136" s="6">
        <v>4305201</v>
      </c>
      <c r="U136" s="6">
        <v>0</v>
      </c>
      <c r="V136" s="6">
        <v>10000</v>
      </c>
      <c r="W136" s="6">
        <f t="shared" ref="W136:W142" si="11">X136-100</f>
        <v>360</v>
      </c>
      <c r="X136" s="6">
        <v>460</v>
      </c>
      <c r="Y136" s="6">
        <v>750</v>
      </c>
      <c r="Z136" s="6">
        <f t="shared" si="10"/>
        <v>800</v>
      </c>
      <c r="AA136" s="6">
        <v>-1</v>
      </c>
      <c r="AB136" s="6" t="s">
        <v>133</v>
      </c>
      <c r="AC136" s="6">
        <v>1</v>
      </c>
      <c r="AD136" s="3">
        <v>0</v>
      </c>
      <c r="AF136" s="41"/>
      <c r="AH136" s="6">
        <v>0</v>
      </c>
      <c r="AI136" s="6">
        <v>0</v>
      </c>
      <c r="AJ136" s="6">
        <v>0</v>
      </c>
      <c r="AK136" s="6">
        <v>0</v>
      </c>
    </row>
    <row r="137" s="6" customFormat="1" spans="1:37">
      <c r="A137" s="6">
        <v>4305202</v>
      </c>
      <c r="B137" s="6">
        <v>4305201</v>
      </c>
      <c r="C137" s="6" t="s">
        <v>368</v>
      </c>
      <c r="D137" s="6" t="s">
        <v>369</v>
      </c>
      <c r="E137" s="6">
        <v>4305201</v>
      </c>
      <c r="F137" s="6">
        <v>2</v>
      </c>
      <c r="G137" s="6">
        <v>2</v>
      </c>
      <c r="H137" s="6" t="s">
        <v>372</v>
      </c>
      <c r="I137" s="6">
        <v>7</v>
      </c>
      <c r="J137" s="6" t="s">
        <v>371</v>
      </c>
      <c r="K137" s="6">
        <v>3</v>
      </c>
      <c r="L137" s="6">
        <v>200</v>
      </c>
      <c r="M137" s="6">
        <v>2</v>
      </c>
      <c r="N137" s="6">
        <v>1</v>
      </c>
      <c r="O137" s="6">
        <v>0</v>
      </c>
      <c r="P137" s="6">
        <v>5</v>
      </c>
      <c r="Q137" s="6">
        <v>4305201</v>
      </c>
      <c r="U137" s="6">
        <v>0</v>
      </c>
      <c r="V137" s="6">
        <v>10000</v>
      </c>
      <c r="W137" s="6">
        <f t="shared" si="11"/>
        <v>360</v>
      </c>
      <c r="X137" s="6">
        <v>460</v>
      </c>
      <c r="Y137" s="6">
        <v>750</v>
      </c>
      <c r="Z137" s="6">
        <f t="shared" si="10"/>
        <v>800</v>
      </c>
      <c r="AA137" s="6">
        <v>-1</v>
      </c>
      <c r="AB137" s="6" t="s">
        <v>133</v>
      </c>
      <c r="AC137" s="6">
        <v>1</v>
      </c>
      <c r="AD137" s="3">
        <v>0</v>
      </c>
      <c r="AF137" s="41"/>
      <c r="AH137" s="6">
        <v>0</v>
      </c>
      <c r="AI137" s="6">
        <v>0</v>
      </c>
      <c r="AJ137" s="6">
        <v>0</v>
      </c>
      <c r="AK137" s="6">
        <v>0</v>
      </c>
    </row>
    <row r="138" s="6" customFormat="1" spans="1:37">
      <c r="A138" s="6">
        <v>4305203</v>
      </c>
      <c r="B138" s="6">
        <v>4305201</v>
      </c>
      <c r="C138" s="6" t="s">
        <v>368</v>
      </c>
      <c r="D138" s="6" t="s">
        <v>369</v>
      </c>
      <c r="E138" s="6">
        <v>4305201</v>
      </c>
      <c r="F138" s="6">
        <v>2</v>
      </c>
      <c r="G138" s="6">
        <v>3</v>
      </c>
      <c r="H138" s="6" t="s">
        <v>373</v>
      </c>
      <c r="I138" s="6">
        <v>7</v>
      </c>
      <c r="J138" s="6" t="s">
        <v>371</v>
      </c>
      <c r="K138" s="6">
        <v>3</v>
      </c>
      <c r="L138" s="6">
        <v>200</v>
      </c>
      <c r="M138" s="6">
        <v>2</v>
      </c>
      <c r="N138" s="6">
        <v>1</v>
      </c>
      <c r="O138" s="6">
        <v>0</v>
      </c>
      <c r="P138" s="6">
        <v>5</v>
      </c>
      <c r="Q138" s="6">
        <v>4305201</v>
      </c>
      <c r="U138" s="6">
        <v>0</v>
      </c>
      <c r="V138" s="6">
        <v>12000</v>
      </c>
      <c r="W138" s="6">
        <f t="shared" si="11"/>
        <v>360</v>
      </c>
      <c r="X138" s="6">
        <v>460</v>
      </c>
      <c r="Y138" s="6">
        <v>750</v>
      </c>
      <c r="Z138" s="6">
        <f t="shared" si="10"/>
        <v>800</v>
      </c>
      <c r="AA138" s="6">
        <v>-1</v>
      </c>
      <c r="AB138" s="6" t="s">
        <v>133</v>
      </c>
      <c r="AC138" s="6">
        <v>1</v>
      </c>
      <c r="AD138" s="3">
        <v>0</v>
      </c>
      <c r="AF138" s="41"/>
      <c r="AH138" s="6">
        <v>0</v>
      </c>
      <c r="AI138" s="6">
        <v>0</v>
      </c>
      <c r="AJ138" s="6">
        <v>0</v>
      </c>
      <c r="AK138" s="6">
        <v>0</v>
      </c>
    </row>
    <row r="139" s="6" customFormat="1" spans="1:37">
      <c r="A139" s="6">
        <v>4305301</v>
      </c>
      <c r="B139" s="6">
        <v>4305301</v>
      </c>
      <c r="C139" s="6" t="s">
        <v>374</v>
      </c>
      <c r="D139" s="6" t="s">
        <v>375</v>
      </c>
      <c r="E139" s="6">
        <v>4305301</v>
      </c>
      <c r="F139" s="6">
        <v>2</v>
      </c>
      <c r="G139" s="6">
        <v>1</v>
      </c>
      <c r="H139" s="6" t="s">
        <v>376</v>
      </c>
      <c r="I139" s="6">
        <v>2</v>
      </c>
      <c r="K139" s="6">
        <v>3</v>
      </c>
      <c r="L139" s="6">
        <v>100</v>
      </c>
      <c r="M139" s="6">
        <v>3</v>
      </c>
      <c r="N139" s="6">
        <v>1</v>
      </c>
      <c r="O139" s="6" t="s">
        <v>157</v>
      </c>
      <c r="P139" s="6">
        <v>10</v>
      </c>
      <c r="Q139" s="6">
        <v>4305301</v>
      </c>
      <c r="U139" s="6">
        <v>0</v>
      </c>
      <c r="V139" s="6">
        <v>20000</v>
      </c>
      <c r="W139" s="6">
        <f t="shared" si="11"/>
        <v>900</v>
      </c>
      <c r="X139" s="6">
        <v>1000</v>
      </c>
      <c r="Y139" s="6">
        <v>1330</v>
      </c>
      <c r="Z139" s="6">
        <f t="shared" si="10"/>
        <v>1380</v>
      </c>
      <c r="AA139" s="6">
        <v>18800</v>
      </c>
      <c r="AC139" s="6">
        <v>1</v>
      </c>
      <c r="AD139" s="3">
        <v>0</v>
      </c>
      <c r="AF139" s="41"/>
      <c r="AH139" s="6">
        <v>0</v>
      </c>
      <c r="AI139" s="6">
        <v>0</v>
      </c>
      <c r="AJ139" s="6">
        <v>0</v>
      </c>
      <c r="AK139" s="6">
        <v>0</v>
      </c>
    </row>
    <row r="140" s="6" customFormat="1" spans="1:37">
      <c r="A140" s="6">
        <v>4305302</v>
      </c>
      <c r="B140" s="6">
        <v>4305301</v>
      </c>
      <c r="C140" s="6" t="s">
        <v>374</v>
      </c>
      <c r="D140" s="6" t="s">
        <v>375</v>
      </c>
      <c r="E140" s="6">
        <v>4305301</v>
      </c>
      <c r="F140" s="6">
        <v>2</v>
      </c>
      <c r="G140" s="6">
        <v>2</v>
      </c>
      <c r="H140" s="6" t="s">
        <v>377</v>
      </c>
      <c r="I140" s="6">
        <v>2</v>
      </c>
      <c r="K140" s="6">
        <v>3</v>
      </c>
      <c r="L140" s="6">
        <v>100</v>
      </c>
      <c r="M140" s="6">
        <v>3</v>
      </c>
      <c r="N140" s="6">
        <v>1</v>
      </c>
      <c r="O140" s="6" t="s">
        <v>157</v>
      </c>
      <c r="P140" s="6">
        <v>10</v>
      </c>
      <c r="Q140" s="6">
        <v>4305301</v>
      </c>
      <c r="U140" s="6">
        <v>0</v>
      </c>
      <c r="V140" s="6">
        <v>20000</v>
      </c>
      <c r="W140" s="6">
        <f t="shared" si="11"/>
        <v>900</v>
      </c>
      <c r="X140" s="6">
        <v>1000</v>
      </c>
      <c r="Y140" s="6">
        <v>1330</v>
      </c>
      <c r="Z140" s="6">
        <f t="shared" si="10"/>
        <v>1380</v>
      </c>
      <c r="AA140" s="6">
        <v>18800</v>
      </c>
      <c r="AC140" s="6">
        <v>1</v>
      </c>
      <c r="AD140" s="6">
        <v>1</v>
      </c>
      <c r="AE140" s="6" t="s">
        <v>326</v>
      </c>
      <c r="AF140" s="41"/>
      <c r="AH140" s="6">
        <v>0</v>
      </c>
      <c r="AI140" s="6">
        <v>0</v>
      </c>
      <c r="AJ140" s="6">
        <v>0</v>
      </c>
      <c r="AK140" s="6">
        <v>0</v>
      </c>
    </row>
    <row r="141" s="6" customFormat="1" ht="15" spans="1:37">
      <c r="A141" s="6">
        <v>4305303</v>
      </c>
      <c r="B141" s="6">
        <v>4305301</v>
      </c>
      <c r="C141" s="6" t="s">
        <v>374</v>
      </c>
      <c r="D141" s="6" t="s">
        <v>375</v>
      </c>
      <c r="E141" s="6">
        <v>4305301</v>
      </c>
      <c r="F141" s="6">
        <v>2</v>
      </c>
      <c r="G141" s="6">
        <v>3</v>
      </c>
      <c r="H141" s="6" t="s">
        <v>378</v>
      </c>
      <c r="I141" s="6">
        <v>2</v>
      </c>
      <c r="K141" s="6">
        <v>3</v>
      </c>
      <c r="L141" s="6">
        <v>100</v>
      </c>
      <c r="M141" s="6">
        <v>3</v>
      </c>
      <c r="N141" s="6">
        <v>1</v>
      </c>
      <c r="O141" s="6" t="s">
        <v>157</v>
      </c>
      <c r="P141" s="6">
        <v>10</v>
      </c>
      <c r="Q141" s="6">
        <v>4305301</v>
      </c>
      <c r="U141" s="6">
        <v>0</v>
      </c>
      <c r="V141" s="6">
        <v>20000</v>
      </c>
      <c r="W141" s="6">
        <f t="shared" si="11"/>
        <v>900</v>
      </c>
      <c r="X141" s="6">
        <v>1000</v>
      </c>
      <c r="Y141" s="6">
        <v>1330</v>
      </c>
      <c r="Z141" s="6">
        <f t="shared" si="10"/>
        <v>1380</v>
      </c>
      <c r="AA141" s="6">
        <v>18800</v>
      </c>
      <c r="AC141" s="6">
        <v>1</v>
      </c>
      <c r="AD141" s="6">
        <v>1</v>
      </c>
      <c r="AE141" s="6" t="s">
        <v>326</v>
      </c>
      <c r="AF141" s="41"/>
      <c r="AH141" s="6">
        <v>0</v>
      </c>
      <c r="AI141" s="6">
        <v>0</v>
      </c>
      <c r="AJ141" s="6">
        <v>0</v>
      </c>
      <c r="AK141" s="6">
        <v>0</v>
      </c>
    </row>
    <row r="142" s="7" customFormat="1" spans="1:37">
      <c r="A142" s="51">
        <v>4306101</v>
      </c>
      <c r="B142" s="7">
        <v>4304101</v>
      </c>
      <c r="C142" s="7" t="s">
        <v>87</v>
      </c>
      <c r="D142" s="7" t="s">
        <v>379</v>
      </c>
      <c r="F142" s="7">
        <v>1</v>
      </c>
      <c r="G142" s="7">
        <v>1</v>
      </c>
      <c r="I142" s="7">
        <v>1</v>
      </c>
      <c r="K142" s="7">
        <v>3</v>
      </c>
      <c r="L142" s="7">
        <v>65</v>
      </c>
      <c r="M142" s="7">
        <v>1</v>
      </c>
      <c r="N142" s="7">
        <v>1</v>
      </c>
      <c r="O142" s="7">
        <v>0</v>
      </c>
      <c r="P142" s="7">
        <v>1</v>
      </c>
      <c r="Q142" s="7">
        <v>4304101</v>
      </c>
      <c r="U142" s="7">
        <v>0</v>
      </c>
      <c r="V142" s="7">
        <v>10000</v>
      </c>
      <c r="W142" s="7">
        <f t="shared" si="11"/>
        <v>320</v>
      </c>
      <c r="X142" s="7">
        <v>420</v>
      </c>
      <c r="Y142" s="7">
        <v>670</v>
      </c>
      <c r="Z142" s="7">
        <f t="shared" ref="Z142:Z155" si="12">Y142+50</f>
        <v>720</v>
      </c>
      <c r="AA142" s="7">
        <f>1000-Z142</f>
        <v>280</v>
      </c>
      <c r="AC142" s="7">
        <v>1</v>
      </c>
      <c r="AD142" s="3">
        <v>0</v>
      </c>
      <c r="AF142" s="42"/>
      <c r="AH142" s="7">
        <v>0</v>
      </c>
      <c r="AI142" s="7">
        <v>0</v>
      </c>
      <c r="AJ142" s="7">
        <v>0</v>
      </c>
      <c r="AK142" s="7">
        <v>0</v>
      </c>
    </row>
    <row r="143" s="6" customFormat="1" spans="1:37">
      <c r="A143" s="52">
        <v>4306201</v>
      </c>
      <c r="B143" s="6">
        <v>4304201</v>
      </c>
      <c r="C143" s="6" t="s">
        <v>380</v>
      </c>
      <c r="D143" s="6" t="s">
        <v>381</v>
      </c>
      <c r="E143" s="6">
        <v>4304201</v>
      </c>
      <c r="F143" s="6">
        <v>2</v>
      </c>
      <c r="G143" s="6">
        <v>1</v>
      </c>
      <c r="H143" s="6" t="s">
        <v>382</v>
      </c>
      <c r="I143" s="6">
        <v>2</v>
      </c>
      <c r="K143" s="6">
        <v>3</v>
      </c>
      <c r="L143" s="6">
        <v>100</v>
      </c>
      <c r="M143" s="6">
        <v>2</v>
      </c>
      <c r="N143" s="6">
        <v>1</v>
      </c>
      <c r="O143" s="6">
        <v>0</v>
      </c>
      <c r="P143" s="6">
        <v>1</v>
      </c>
      <c r="Q143" s="6">
        <v>4304201</v>
      </c>
      <c r="U143" s="6">
        <v>0</v>
      </c>
      <c r="V143" s="6">
        <v>8000</v>
      </c>
      <c r="W143" s="6">
        <v>360</v>
      </c>
      <c r="X143" s="6" t="s">
        <v>383</v>
      </c>
      <c r="Y143" s="6">
        <v>1540</v>
      </c>
      <c r="Z143" s="6">
        <f t="shared" si="12"/>
        <v>1590</v>
      </c>
      <c r="AA143" s="6">
        <v>-1</v>
      </c>
      <c r="AB143" s="6" t="s">
        <v>111</v>
      </c>
      <c r="AC143" s="6">
        <v>1</v>
      </c>
      <c r="AD143" s="6">
        <v>1</v>
      </c>
      <c r="AE143" s="6" t="s">
        <v>384</v>
      </c>
      <c r="AF143" s="41"/>
      <c r="AH143" s="6">
        <v>0</v>
      </c>
      <c r="AI143" s="6">
        <v>0</v>
      </c>
      <c r="AJ143" s="6">
        <v>0</v>
      </c>
      <c r="AK143" s="6">
        <v>0</v>
      </c>
    </row>
    <row r="144" s="6" customFormat="1" spans="1:37">
      <c r="A144" s="52">
        <v>4306202</v>
      </c>
      <c r="B144" s="6">
        <v>4304201</v>
      </c>
      <c r="C144" s="6" t="s">
        <v>380</v>
      </c>
      <c r="D144" s="6" t="s">
        <v>381</v>
      </c>
      <c r="E144" s="6">
        <v>4304201</v>
      </c>
      <c r="F144" s="6">
        <v>2</v>
      </c>
      <c r="G144" s="6">
        <v>2</v>
      </c>
      <c r="H144" s="6" t="s">
        <v>138</v>
      </c>
      <c r="I144" s="6">
        <v>2</v>
      </c>
      <c r="K144" s="6">
        <v>3</v>
      </c>
      <c r="L144" s="6">
        <v>100</v>
      </c>
      <c r="M144" s="6">
        <v>2</v>
      </c>
      <c r="N144" s="6">
        <v>1</v>
      </c>
      <c r="O144" s="6">
        <v>0</v>
      </c>
      <c r="P144" s="6">
        <v>1</v>
      </c>
      <c r="Q144" s="6">
        <v>4304201</v>
      </c>
      <c r="U144" s="6">
        <v>0</v>
      </c>
      <c r="V144" s="6">
        <v>12000</v>
      </c>
      <c r="W144" s="6">
        <v>360</v>
      </c>
      <c r="X144" s="6" t="s">
        <v>383</v>
      </c>
      <c r="Y144" s="6">
        <v>1540</v>
      </c>
      <c r="Z144" s="6">
        <f t="shared" si="12"/>
        <v>1590</v>
      </c>
      <c r="AA144" s="6">
        <v>-1</v>
      </c>
      <c r="AB144" s="6" t="s">
        <v>111</v>
      </c>
      <c r="AC144" s="6">
        <v>1</v>
      </c>
      <c r="AD144" s="6">
        <v>1</v>
      </c>
      <c r="AE144" s="6" t="s">
        <v>384</v>
      </c>
      <c r="AF144" s="41"/>
      <c r="AH144" s="6">
        <v>0</v>
      </c>
      <c r="AI144" s="6">
        <v>0</v>
      </c>
      <c r="AJ144" s="6">
        <v>0</v>
      </c>
      <c r="AK144" s="6">
        <v>0</v>
      </c>
    </row>
    <row r="145" s="6" customFormat="1" spans="1:37">
      <c r="A145" s="52">
        <v>4306203</v>
      </c>
      <c r="B145" s="6">
        <v>4304201</v>
      </c>
      <c r="C145" s="6" t="s">
        <v>380</v>
      </c>
      <c r="D145" s="6" t="s">
        <v>381</v>
      </c>
      <c r="E145" s="6">
        <v>4304201</v>
      </c>
      <c r="F145" s="6">
        <v>2</v>
      </c>
      <c r="G145" s="6">
        <v>3</v>
      </c>
      <c r="H145" s="6" t="s">
        <v>138</v>
      </c>
      <c r="I145" s="6">
        <v>2</v>
      </c>
      <c r="K145" s="6">
        <v>3</v>
      </c>
      <c r="L145" s="6">
        <v>100</v>
      </c>
      <c r="M145" s="6">
        <v>2</v>
      </c>
      <c r="N145" s="6">
        <v>1</v>
      </c>
      <c r="O145" s="6">
        <v>0</v>
      </c>
      <c r="P145" s="6">
        <v>1</v>
      </c>
      <c r="Q145" s="6">
        <v>4304201</v>
      </c>
      <c r="U145" s="6">
        <v>0</v>
      </c>
      <c r="V145" s="6">
        <v>15000</v>
      </c>
      <c r="W145" s="6">
        <v>360</v>
      </c>
      <c r="X145" s="6" t="s">
        <v>383</v>
      </c>
      <c r="Y145" s="6">
        <v>1540</v>
      </c>
      <c r="Z145" s="6">
        <f t="shared" si="12"/>
        <v>1590</v>
      </c>
      <c r="AA145" s="6">
        <v>-1</v>
      </c>
      <c r="AB145" s="6" t="s">
        <v>111</v>
      </c>
      <c r="AC145" s="6">
        <v>1</v>
      </c>
      <c r="AD145" s="6">
        <v>1</v>
      </c>
      <c r="AE145" s="6" t="s">
        <v>384</v>
      </c>
      <c r="AF145" s="41"/>
      <c r="AH145" s="6">
        <v>0</v>
      </c>
      <c r="AI145" s="6">
        <v>0</v>
      </c>
      <c r="AJ145" s="6">
        <v>0</v>
      </c>
      <c r="AK145" s="6">
        <v>0</v>
      </c>
    </row>
    <row r="146" s="6" customFormat="1" spans="1:37">
      <c r="A146" s="52">
        <v>4306301</v>
      </c>
      <c r="B146" s="6">
        <v>4304301</v>
      </c>
      <c r="C146" s="6" t="s">
        <v>385</v>
      </c>
      <c r="D146" s="6" t="s">
        <v>386</v>
      </c>
      <c r="E146" s="6">
        <v>4304301</v>
      </c>
      <c r="F146" s="6">
        <v>2</v>
      </c>
      <c r="G146" s="6">
        <v>1</v>
      </c>
      <c r="H146" s="6" t="s">
        <v>387</v>
      </c>
      <c r="I146" s="6">
        <v>4</v>
      </c>
      <c r="K146" s="6">
        <v>1</v>
      </c>
      <c r="L146" s="6">
        <v>100</v>
      </c>
      <c r="M146" s="6">
        <v>3</v>
      </c>
      <c r="N146" s="6">
        <v>1</v>
      </c>
      <c r="O146" s="6">
        <v>0</v>
      </c>
      <c r="P146" s="6">
        <v>1</v>
      </c>
      <c r="Q146" s="6">
        <v>-1</v>
      </c>
      <c r="U146" s="6">
        <v>0</v>
      </c>
      <c r="V146" s="6">
        <v>10000</v>
      </c>
      <c r="W146" s="6">
        <v>820</v>
      </c>
      <c r="X146" s="6">
        <v>920</v>
      </c>
      <c r="Y146" s="6">
        <v>1080</v>
      </c>
      <c r="Z146" s="6">
        <f t="shared" si="12"/>
        <v>1130</v>
      </c>
      <c r="AA146" s="6">
        <v>12000</v>
      </c>
      <c r="AC146" s="6">
        <v>1</v>
      </c>
      <c r="AD146" s="6">
        <v>1</v>
      </c>
      <c r="AE146" s="6" t="s">
        <v>388</v>
      </c>
      <c r="AF146" s="41"/>
      <c r="AH146" s="6">
        <v>0</v>
      </c>
      <c r="AI146" s="6">
        <v>0</v>
      </c>
      <c r="AJ146" s="6">
        <v>0</v>
      </c>
      <c r="AK146" s="6">
        <v>0</v>
      </c>
    </row>
    <row r="147" s="6" customFormat="1" spans="1:37">
      <c r="A147" s="52">
        <v>4306302</v>
      </c>
      <c r="B147" s="6">
        <v>4304301</v>
      </c>
      <c r="C147" s="6" t="s">
        <v>385</v>
      </c>
      <c r="D147" s="6" t="s">
        <v>386</v>
      </c>
      <c r="E147" s="6">
        <v>4304301</v>
      </c>
      <c r="F147" s="6">
        <v>2</v>
      </c>
      <c r="G147" s="6">
        <v>2</v>
      </c>
      <c r="H147" s="6" t="s">
        <v>389</v>
      </c>
      <c r="I147" s="6">
        <v>4</v>
      </c>
      <c r="K147" s="6">
        <v>1</v>
      </c>
      <c r="L147" s="6">
        <v>100</v>
      </c>
      <c r="M147" s="6">
        <v>3</v>
      </c>
      <c r="N147" s="6">
        <v>1</v>
      </c>
      <c r="O147" s="6">
        <v>0</v>
      </c>
      <c r="P147" s="6">
        <v>1</v>
      </c>
      <c r="Q147" s="6">
        <v>-1</v>
      </c>
      <c r="U147" s="6">
        <v>0</v>
      </c>
      <c r="V147" s="6">
        <v>10000</v>
      </c>
      <c r="W147" s="6">
        <v>820</v>
      </c>
      <c r="X147" s="6">
        <v>920</v>
      </c>
      <c r="Y147" s="6">
        <v>1080</v>
      </c>
      <c r="Z147" s="6">
        <f t="shared" si="12"/>
        <v>1130</v>
      </c>
      <c r="AA147" s="6">
        <v>12000</v>
      </c>
      <c r="AC147" s="6">
        <v>1</v>
      </c>
      <c r="AD147" s="6">
        <v>1</v>
      </c>
      <c r="AE147" s="6" t="s">
        <v>388</v>
      </c>
      <c r="AF147" s="41"/>
      <c r="AH147" s="6">
        <v>0</v>
      </c>
      <c r="AI147" s="6">
        <v>0</v>
      </c>
      <c r="AJ147" s="6">
        <v>0</v>
      </c>
      <c r="AK147" s="6">
        <v>0</v>
      </c>
    </row>
    <row r="148" s="12" customFormat="1" ht="15" spans="1:37">
      <c r="A148" s="53">
        <v>4306303</v>
      </c>
      <c r="B148" s="12">
        <v>4304301</v>
      </c>
      <c r="C148" s="12" t="s">
        <v>385</v>
      </c>
      <c r="D148" s="12" t="s">
        <v>386</v>
      </c>
      <c r="E148" s="12">
        <v>4304301</v>
      </c>
      <c r="F148" s="12">
        <v>2</v>
      </c>
      <c r="G148" s="12">
        <v>3</v>
      </c>
      <c r="H148" s="12" t="s">
        <v>104</v>
      </c>
      <c r="I148" s="12">
        <v>4</v>
      </c>
      <c r="K148" s="12">
        <v>1</v>
      </c>
      <c r="L148" s="12">
        <v>100</v>
      </c>
      <c r="M148" s="12">
        <v>3</v>
      </c>
      <c r="N148" s="12">
        <v>1</v>
      </c>
      <c r="O148" s="12">
        <v>0</v>
      </c>
      <c r="P148" s="12">
        <v>1</v>
      </c>
      <c r="Q148" s="12">
        <v>-1</v>
      </c>
      <c r="U148" s="12">
        <v>0</v>
      </c>
      <c r="V148" s="12">
        <v>10000</v>
      </c>
      <c r="W148" s="12">
        <v>820</v>
      </c>
      <c r="X148" s="12">
        <v>920</v>
      </c>
      <c r="Y148" s="12">
        <v>1080</v>
      </c>
      <c r="Z148" s="12">
        <f t="shared" si="12"/>
        <v>1130</v>
      </c>
      <c r="AA148" s="12">
        <v>12000</v>
      </c>
      <c r="AC148" s="12">
        <v>1</v>
      </c>
      <c r="AD148" s="12">
        <v>1</v>
      </c>
      <c r="AE148" s="12" t="s">
        <v>390</v>
      </c>
      <c r="AF148" s="43"/>
      <c r="AH148" s="12">
        <v>0</v>
      </c>
      <c r="AI148" s="12">
        <v>0</v>
      </c>
      <c r="AJ148" s="12">
        <v>0</v>
      </c>
      <c r="AK148" s="12">
        <v>0</v>
      </c>
    </row>
    <row r="149" s="6" customFormat="1" spans="1:37">
      <c r="A149" s="6">
        <v>4307101</v>
      </c>
      <c r="B149" s="6">
        <v>4307101</v>
      </c>
      <c r="C149" s="6" t="s">
        <v>87</v>
      </c>
      <c r="D149" s="6" t="s">
        <v>391</v>
      </c>
      <c r="F149" s="6">
        <v>1</v>
      </c>
      <c r="G149" s="6">
        <v>1</v>
      </c>
      <c r="I149" s="6">
        <v>7</v>
      </c>
      <c r="J149" s="6" t="s">
        <v>392</v>
      </c>
      <c r="K149" s="6">
        <v>3</v>
      </c>
      <c r="L149" s="6">
        <v>350</v>
      </c>
      <c r="M149" s="6">
        <v>1</v>
      </c>
      <c r="N149" s="6">
        <v>1</v>
      </c>
      <c r="O149" s="6">
        <v>0</v>
      </c>
      <c r="P149" s="6">
        <v>1</v>
      </c>
      <c r="Q149" s="6">
        <v>4307101</v>
      </c>
      <c r="U149" s="6">
        <v>0</v>
      </c>
      <c r="V149" s="6">
        <v>10000</v>
      </c>
      <c r="W149" s="6">
        <v>320</v>
      </c>
      <c r="X149" s="6">
        <v>420</v>
      </c>
      <c r="Y149" s="6">
        <v>580</v>
      </c>
      <c r="Z149" s="6">
        <f t="shared" si="12"/>
        <v>630</v>
      </c>
      <c r="AA149" s="6">
        <v>450</v>
      </c>
      <c r="AC149" s="6">
        <v>2</v>
      </c>
      <c r="AD149" s="3">
        <v>0</v>
      </c>
      <c r="AF149" s="41"/>
      <c r="AH149" s="6">
        <v>0</v>
      </c>
      <c r="AI149" s="6">
        <v>0</v>
      </c>
      <c r="AJ149" s="6">
        <v>0</v>
      </c>
      <c r="AK149" s="6">
        <v>0</v>
      </c>
    </row>
    <row r="150" s="6" customFormat="1" spans="1:37">
      <c r="A150" s="6">
        <v>4307201</v>
      </c>
      <c r="B150" s="6">
        <v>4307201</v>
      </c>
      <c r="C150" s="6" t="s">
        <v>393</v>
      </c>
      <c r="D150" s="6" t="s">
        <v>394</v>
      </c>
      <c r="E150" s="6">
        <v>4307301</v>
      </c>
      <c r="F150" s="6">
        <v>2</v>
      </c>
      <c r="G150" s="6">
        <v>1</v>
      </c>
      <c r="H150" s="6" t="s">
        <v>395</v>
      </c>
      <c r="I150" s="6">
        <v>2</v>
      </c>
      <c r="K150" s="6">
        <v>1</v>
      </c>
      <c r="L150" s="6">
        <v>350</v>
      </c>
      <c r="M150" s="6">
        <v>3</v>
      </c>
      <c r="N150" s="6">
        <v>2</v>
      </c>
      <c r="O150" s="6">
        <v>0</v>
      </c>
      <c r="P150" s="6">
        <v>1</v>
      </c>
      <c r="Q150" s="6">
        <v>4307301</v>
      </c>
      <c r="U150" s="6">
        <v>0</v>
      </c>
      <c r="V150" s="6">
        <v>0</v>
      </c>
      <c r="W150" s="6">
        <v>320</v>
      </c>
      <c r="X150" s="6">
        <v>420</v>
      </c>
      <c r="Y150" s="6">
        <v>500</v>
      </c>
      <c r="Z150" s="6">
        <f t="shared" si="12"/>
        <v>550</v>
      </c>
      <c r="AA150" s="6">
        <v>20000</v>
      </c>
      <c r="AC150" s="6">
        <v>2</v>
      </c>
      <c r="AD150" s="6">
        <v>1</v>
      </c>
      <c r="AE150" s="6" t="s">
        <v>396</v>
      </c>
      <c r="AF150" s="41"/>
      <c r="AH150" s="6">
        <v>0</v>
      </c>
      <c r="AI150" s="6">
        <v>0</v>
      </c>
      <c r="AJ150" s="6">
        <v>0</v>
      </c>
      <c r="AK150" s="6">
        <v>0</v>
      </c>
    </row>
    <row r="151" s="6" customFormat="1" spans="1:37">
      <c r="A151" s="6">
        <v>4307202</v>
      </c>
      <c r="B151" s="6">
        <v>4307201</v>
      </c>
      <c r="C151" s="6" t="s">
        <v>393</v>
      </c>
      <c r="D151" s="6" t="s">
        <v>394</v>
      </c>
      <c r="E151" s="6">
        <v>4307301</v>
      </c>
      <c r="F151" s="6">
        <v>2</v>
      </c>
      <c r="G151" s="6">
        <v>2</v>
      </c>
      <c r="H151" s="6" t="s">
        <v>397</v>
      </c>
      <c r="I151" s="6">
        <v>2</v>
      </c>
      <c r="K151" s="6">
        <v>1</v>
      </c>
      <c r="L151" s="6">
        <v>350</v>
      </c>
      <c r="M151" s="6">
        <v>3</v>
      </c>
      <c r="N151" s="6">
        <v>2</v>
      </c>
      <c r="O151" s="6">
        <v>0</v>
      </c>
      <c r="P151" s="6">
        <v>1</v>
      </c>
      <c r="Q151" s="6">
        <v>4307301</v>
      </c>
      <c r="U151" s="6">
        <v>0</v>
      </c>
      <c r="V151" s="6">
        <v>0</v>
      </c>
      <c r="W151" s="6">
        <v>320</v>
      </c>
      <c r="X151" s="6">
        <v>420</v>
      </c>
      <c r="Y151" s="6">
        <v>500</v>
      </c>
      <c r="Z151" s="6">
        <f t="shared" si="12"/>
        <v>550</v>
      </c>
      <c r="AA151" s="6">
        <v>20000</v>
      </c>
      <c r="AC151" s="6">
        <v>2</v>
      </c>
      <c r="AD151" s="6">
        <v>1</v>
      </c>
      <c r="AE151" s="6" t="s">
        <v>398</v>
      </c>
      <c r="AF151" s="41"/>
      <c r="AH151" s="6">
        <v>0</v>
      </c>
      <c r="AI151" s="6">
        <v>0</v>
      </c>
      <c r="AJ151" s="6">
        <v>0</v>
      </c>
      <c r="AK151" s="6">
        <v>0</v>
      </c>
    </row>
    <row r="152" s="6" customFormat="1" spans="1:37">
      <c r="A152" s="6">
        <v>4307203</v>
      </c>
      <c r="B152" s="6">
        <v>4307201</v>
      </c>
      <c r="C152" s="6" t="s">
        <v>393</v>
      </c>
      <c r="D152" s="6" t="s">
        <v>394</v>
      </c>
      <c r="E152" s="6">
        <v>4307301</v>
      </c>
      <c r="F152" s="6">
        <v>2</v>
      </c>
      <c r="G152" s="6">
        <v>3</v>
      </c>
      <c r="H152" s="6" t="s">
        <v>399</v>
      </c>
      <c r="I152" s="6">
        <v>2</v>
      </c>
      <c r="K152" s="6">
        <v>1</v>
      </c>
      <c r="L152" s="6">
        <v>350</v>
      </c>
      <c r="M152" s="6">
        <v>3</v>
      </c>
      <c r="N152" s="6">
        <v>2</v>
      </c>
      <c r="O152" s="6">
        <v>0</v>
      </c>
      <c r="P152" s="6">
        <v>1</v>
      </c>
      <c r="Q152" s="6">
        <v>4307301</v>
      </c>
      <c r="U152" s="6">
        <v>0</v>
      </c>
      <c r="V152" s="6">
        <v>0</v>
      </c>
      <c r="W152" s="6">
        <v>320</v>
      </c>
      <c r="X152" s="6">
        <v>420</v>
      </c>
      <c r="Y152" s="6">
        <v>500</v>
      </c>
      <c r="Z152" s="6">
        <f t="shared" si="12"/>
        <v>550</v>
      </c>
      <c r="AA152" s="6">
        <v>20000</v>
      </c>
      <c r="AC152" s="6">
        <v>2</v>
      </c>
      <c r="AD152" s="6">
        <v>1</v>
      </c>
      <c r="AE152" s="6" t="s">
        <v>400</v>
      </c>
      <c r="AF152" s="41"/>
      <c r="AH152" s="6">
        <v>0</v>
      </c>
      <c r="AI152" s="6">
        <v>0</v>
      </c>
      <c r="AJ152" s="6">
        <v>0</v>
      </c>
      <c r="AK152" s="6">
        <v>0</v>
      </c>
    </row>
    <row r="153" s="6" customFormat="1" spans="1:37">
      <c r="A153" s="6">
        <v>4307301</v>
      </c>
      <c r="B153" s="6">
        <v>4307301</v>
      </c>
      <c r="C153" s="6" t="s">
        <v>401</v>
      </c>
      <c r="D153" s="6" t="s">
        <v>402</v>
      </c>
      <c r="E153" s="6">
        <v>4307201</v>
      </c>
      <c r="F153" s="6">
        <v>2</v>
      </c>
      <c r="G153" s="6">
        <v>1</v>
      </c>
      <c r="H153" s="6" t="s">
        <v>403</v>
      </c>
      <c r="I153" s="6">
        <v>7</v>
      </c>
      <c r="J153" s="6" t="s">
        <v>404</v>
      </c>
      <c r="K153" s="6">
        <v>3</v>
      </c>
      <c r="L153" s="6">
        <v>350</v>
      </c>
      <c r="M153" s="6">
        <v>2</v>
      </c>
      <c r="N153" s="6">
        <v>1</v>
      </c>
      <c r="O153" s="6">
        <v>0</v>
      </c>
      <c r="P153" s="6">
        <v>3</v>
      </c>
      <c r="Q153" s="6">
        <v>4307201</v>
      </c>
      <c r="U153" s="6">
        <v>0</v>
      </c>
      <c r="V153" s="6">
        <v>20000</v>
      </c>
      <c r="W153" s="6">
        <v>320</v>
      </c>
      <c r="X153" s="6">
        <v>420</v>
      </c>
      <c r="Y153" s="6">
        <v>580</v>
      </c>
      <c r="Z153" s="6">
        <f t="shared" si="12"/>
        <v>630</v>
      </c>
      <c r="AA153" s="6">
        <v>-1</v>
      </c>
      <c r="AB153" s="6" t="s">
        <v>186</v>
      </c>
      <c r="AC153" s="6">
        <v>1</v>
      </c>
      <c r="AD153" s="3">
        <v>0</v>
      </c>
      <c r="AF153" s="41"/>
      <c r="AH153" s="6">
        <v>0</v>
      </c>
      <c r="AI153" s="6">
        <v>0</v>
      </c>
      <c r="AJ153" s="6">
        <v>0</v>
      </c>
      <c r="AK153" s="6">
        <v>0</v>
      </c>
    </row>
    <row r="154" s="6" customFormat="1" spans="1:37">
      <c r="A154" s="6">
        <v>4307302</v>
      </c>
      <c r="B154" s="6">
        <v>4307301</v>
      </c>
      <c r="C154" s="6" t="s">
        <v>401</v>
      </c>
      <c r="D154" s="6" t="s">
        <v>402</v>
      </c>
      <c r="E154" s="6">
        <v>4307201</v>
      </c>
      <c r="F154" s="6">
        <v>2</v>
      </c>
      <c r="G154" s="6">
        <v>2</v>
      </c>
      <c r="H154" s="6" t="s">
        <v>203</v>
      </c>
      <c r="I154" s="6">
        <v>7</v>
      </c>
      <c r="J154" s="6" t="s">
        <v>404</v>
      </c>
      <c r="K154" s="6">
        <v>3</v>
      </c>
      <c r="L154" s="6">
        <v>350</v>
      </c>
      <c r="M154" s="6">
        <v>2</v>
      </c>
      <c r="N154" s="6">
        <v>1</v>
      </c>
      <c r="O154" s="6">
        <v>0</v>
      </c>
      <c r="P154" s="6">
        <v>4</v>
      </c>
      <c r="Q154" s="6">
        <v>4307201</v>
      </c>
      <c r="U154" s="6">
        <v>0</v>
      </c>
      <c r="V154" s="6">
        <v>20000</v>
      </c>
      <c r="W154" s="6">
        <v>320</v>
      </c>
      <c r="X154" s="6">
        <v>420</v>
      </c>
      <c r="Y154" s="6">
        <v>580</v>
      </c>
      <c r="Z154" s="6">
        <f t="shared" si="12"/>
        <v>630</v>
      </c>
      <c r="AA154" s="6">
        <v>-1</v>
      </c>
      <c r="AB154" s="6" t="s">
        <v>186</v>
      </c>
      <c r="AC154" s="6">
        <v>1</v>
      </c>
      <c r="AD154" s="3">
        <v>0</v>
      </c>
      <c r="AF154" s="41"/>
      <c r="AH154" s="6">
        <v>0</v>
      </c>
      <c r="AI154" s="6">
        <v>0</v>
      </c>
      <c r="AJ154" s="6">
        <v>0</v>
      </c>
      <c r="AK154" s="6">
        <v>0</v>
      </c>
    </row>
    <row r="155" s="6" customFormat="1" ht="15" spans="1:37">
      <c r="A155" s="6">
        <v>4307303</v>
      </c>
      <c r="B155" s="6">
        <v>4307301</v>
      </c>
      <c r="C155" s="6" t="s">
        <v>401</v>
      </c>
      <c r="D155" s="6" t="s">
        <v>402</v>
      </c>
      <c r="E155" s="6">
        <v>4307201</v>
      </c>
      <c r="F155" s="6">
        <v>2</v>
      </c>
      <c r="G155" s="6">
        <v>3</v>
      </c>
      <c r="H155" s="6" t="s">
        <v>203</v>
      </c>
      <c r="I155" s="6">
        <v>7</v>
      </c>
      <c r="J155" s="6" t="s">
        <v>404</v>
      </c>
      <c r="K155" s="6">
        <v>3</v>
      </c>
      <c r="L155" s="6">
        <v>350</v>
      </c>
      <c r="M155" s="6">
        <v>2</v>
      </c>
      <c r="N155" s="6">
        <v>1</v>
      </c>
      <c r="O155" s="6">
        <v>0</v>
      </c>
      <c r="P155" s="6">
        <v>5</v>
      </c>
      <c r="Q155" s="6">
        <v>4307201</v>
      </c>
      <c r="U155" s="6">
        <v>0</v>
      </c>
      <c r="V155" s="6">
        <v>20000</v>
      </c>
      <c r="W155" s="6">
        <v>320</v>
      </c>
      <c r="X155" s="6">
        <v>420</v>
      </c>
      <c r="Y155" s="6">
        <v>580</v>
      </c>
      <c r="Z155" s="6">
        <f t="shared" si="12"/>
        <v>630</v>
      </c>
      <c r="AA155" s="6">
        <v>-1</v>
      </c>
      <c r="AB155" s="6" t="s">
        <v>133</v>
      </c>
      <c r="AC155" s="6">
        <v>1</v>
      </c>
      <c r="AD155" s="3">
        <v>0</v>
      </c>
      <c r="AF155" s="41"/>
      <c r="AH155" s="6">
        <v>0</v>
      </c>
      <c r="AI155" s="6">
        <v>0</v>
      </c>
      <c r="AJ155" s="6">
        <v>0</v>
      </c>
      <c r="AK155" s="6">
        <v>0</v>
      </c>
    </row>
    <row r="156" s="11" customFormat="1" spans="1:37">
      <c r="A156" s="51">
        <v>4308101</v>
      </c>
      <c r="B156" s="11">
        <v>4308101</v>
      </c>
      <c r="C156" s="11" t="s">
        <v>87</v>
      </c>
      <c r="D156" s="11" t="s">
        <v>405</v>
      </c>
      <c r="F156" s="11">
        <v>1</v>
      </c>
      <c r="G156" s="11">
        <v>1</v>
      </c>
      <c r="I156" s="11">
        <v>1</v>
      </c>
      <c r="K156" s="11">
        <v>3</v>
      </c>
      <c r="L156" s="11">
        <v>100</v>
      </c>
      <c r="M156" s="11">
        <v>1</v>
      </c>
      <c r="N156" s="11">
        <v>1</v>
      </c>
      <c r="O156" s="11">
        <v>0</v>
      </c>
      <c r="P156" s="11">
        <v>1</v>
      </c>
      <c r="Q156" s="11">
        <v>4308101</v>
      </c>
      <c r="U156" s="11">
        <v>0</v>
      </c>
      <c r="V156" s="11">
        <v>10000</v>
      </c>
      <c r="W156" s="11">
        <v>320</v>
      </c>
      <c r="X156" s="11">
        <v>420</v>
      </c>
      <c r="Y156" s="11">
        <v>500</v>
      </c>
      <c r="Z156" s="11">
        <v>550</v>
      </c>
      <c r="AA156" s="11">
        <v>450</v>
      </c>
      <c r="AC156" s="11">
        <v>1</v>
      </c>
      <c r="AD156" s="3">
        <v>0</v>
      </c>
      <c r="AF156" s="42"/>
      <c r="AH156" s="11">
        <v>0</v>
      </c>
      <c r="AI156" s="11">
        <v>0</v>
      </c>
      <c r="AJ156" s="11">
        <v>0</v>
      </c>
      <c r="AK156" s="11">
        <v>0</v>
      </c>
    </row>
    <row r="157" s="6" customFormat="1" spans="1:37">
      <c r="A157" s="52">
        <v>4308201</v>
      </c>
      <c r="B157" s="6">
        <v>4308201</v>
      </c>
      <c r="C157" s="6" t="s">
        <v>406</v>
      </c>
      <c r="D157" s="6" t="s">
        <v>407</v>
      </c>
      <c r="E157" s="6">
        <v>4308201</v>
      </c>
      <c r="F157" s="6">
        <v>2</v>
      </c>
      <c r="G157" s="6">
        <v>1</v>
      </c>
      <c r="H157" s="6" t="s">
        <v>408</v>
      </c>
      <c r="I157" s="6">
        <v>2</v>
      </c>
      <c r="K157" s="6">
        <v>3</v>
      </c>
      <c r="L157" s="6">
        <v>350</v>
      </c>
      <c r="M157" s="6">
        <v>2</v>
      </c>
      <c r="N157" s="6">
        <v>3</v>
      </c>
      <c r="O157" s="6" t="s">
        <v>100</v>
      </c>
      <c r="P157" s="6">
        <v>5</v>
      </c>
      <c r="Q157" s="6">
        <v>4308201</v>
      </c>
      <c r="U157" s="6">
        <v>0</v>
      </c>
      <c r="V157" s="6">
        <v>25000</v>
      </c>
      <c r="W157" s="6">
        <v>650</v>
      </c>
      <c r="X157" s="6">
        <v>750</v>
      </c>
      <c r="Y157" s="6">
        <v>1170</v>
      </c>
      <c r="Z157" s="6">
        <v>1580</v>
      </c>
      <c r="AA157" s="6">
        <v>15000</v>
      </c>
      <c r="AC157" s="6">
        <v>1</v>
      </c>
      <c r="AD157" s="6">
        <v>1</v>
      </c>
      <c r="AE157" s="6" t="s">
        <v>144</v>
      </c>
      <c r="AF157" s="41"/>
      <c r="AH157" s="6">
        <v>0</v>
      </c>
      <c r="AI157" s="6">
        <v>0</v>
      </c>
      <c r="AJ157" s="6">
        <v>0</v>
      </c>
      <c r="AK157" s="6">
        <v>0</v>
      </c>
    </row>
    <row r="158" s="6" customFormat="1" spans="1:37">
      <c r="A158" s="52">
        <v>4308202</v>
      </c>
      <c r="B158" s="6">
        <v>4308201</v>
      </c>
      <c r="C158" s="6" t="s">
        <v>406</v>
      </c>
      <c r="D158" s="6" t="s">
        <v>407</v>
      </c>
      <c r="E158" s="6">
        <v>4308201</v>
      </c>
      <c r="F158" s="6">
        <v>2</v>
      </c>
      <c r="G158" s="6">
        <v>2</v>
      </c>
      <c r="H158" s="6" t="s">
        <v>409</v>
      </c>
      <c r="I158" s="6">
        <v>2</v>
      </c>
      <c r="K158" s="6">
        <v>3</v>
      </c>
      <c r="L158" s="6">
        <v>350</v>
      </c>
      <c r="M158" s="6">
        <v>2</v>
      </c>
      <c r="N158" s="6">
        <v>3</v>
      </c>
      <c r="O158" s="6" t="s">
        <v>100</v>
      </c>
      <c r="P158" s="6">
        <v>5</v>
      </c>
      <c r="Q158" s="6">
        <v>4308201</v>
      </c>
      <c r="U158" s="6">
        <v>0</v>
      </c>
      <c r="V158" s="6">
        <v>25000</v>
      </c>
      <c r="W158" s="6">
        <v>650</v>
      </c>
      <c r="X158" s="6">
        <v>750</v>
      </c>
      <c r="Y158" s="6">
        <v>1170</v>
      </c>
      <c r="Z158" s="6">
        <v>1580</v>
      </c>
      <c r="AA158" s="6">
        <v>15000</v>
      </c>
      <c r="AC158" s="6">
        <v>1</v>
      </c>
      <c r="AD158" s="6">
        <v>1</v>
      </c>
      <c r="AE158" s="6" t="s">
        <v>410</v>
      </c>
      <c r="AF158" s="41"/>
      <c r="AH158" s="6">
        <v>0</v>
      </c>
      <c r="AI158" s="6">
        <v>0</v>
      </c>
      <c r="AJ158" s="6">
        <v>0</v>
      </c>
      <c r="AK158" s="6">
        <v>0</v>
      </c>
    </row>
    <row r="159" s="6" customFormat="1" spans="1:37">
      <c r="A159" s="52">
        <v>4308203</v>
      </c>
      <c r="B159" s="6">
        <v>4308201</v>
      </c>
      <c r="C159" s="6" t="s">
        <v>406</v>
      </c>
      <c r="D159" s="6" t="s">
        <v>407</v>
      </c>
      <c r="E159" s="6">
        <v>4308201</v>
      </c>
      <c r="F159" s="6">
        <v>2</v>
      </c>
      <c r="G159" s="6">
        <v>3</v>
      </c>
      <c r="H159" s="6" t="s">
        <v>125</v>
      </c>
      <c r="I159" s="6">
        <v>2</v>
      </c>
      <c r="K159" s="6">
        <v>3</v>
      </c>
      <c r="L159" s="6">
        <v>350</v>
      </c>
      <c r="M159" s="6">
        <v>2</v>
      </c>
      <c r="N159" s="6">
        <v>3</v>
      </c>
      <c r="O159" s="6" t="s">
        <v>100</v>
      </c>
      <c r="P159" s="6">
        <v>5</v>
      </c>
      <c r="Q159" s="6">
        <v>4308201</v>
      </c>
      <c r="U159" s="6">
        <v>0</v>
      </c>
      <c r="V159" s="6">
        <v>15000</v>
      </c>
      <c r="W159" s="6">
        <v>650</v>
      </c>
      <c r="X159" s="6">
        <v>750</v>
      </c>
      <c r="Y159" s="6">
        <v>1170</v>
      </c>
      <c r="Z159" s="6">
        <v>1580</v>
      </c>
      <c r="AA159" s="6">
        <v>10000</v>
      </c>
      <c r="AC159" s="6">
        <v>1</v>
      </c>
      <c r="AD159" s="6">
        <v>1</v>
      </c>
      <c r="AE159" s="6" t="s">
        <v>410</v>
      </c>
      <c r="AF159" s="41"/>
      <c r="AH159" s="6">
        <v>0</v>
      </c>
      <c r="AI159" s="6">
        <v>0</v>
      </c>
      <c r="AJ159" s="6">
        <v>0</v>
      </c>
      <c r="AK159" s="6">
        <v>0</v>
      </c>
    </row>
    <row r="160" s="13" customFormat="1" spans="1:37">
      <c r="A160" s="13">
        <v>4308301</v>
      </c>
      <c r="B160" s="13">
        <v>4308301</v>
      </c>
      <c r="C160" s="13" t="s">
        <v>411</v>
      </c>
      <c r="D160" s="13" t="s">
        <v>412</v>
      </c>
      <c r="E160" s="13">
        <v>4308301</v>
      </c>
      <c r="F160" s="13">
        <v>2</v>
      </c>
      <c r="G160" s="13">
        <v>1</v>
      </c>
      <c r="H160" s="13" t="s">
        <v>413</v>
      </c>
      <c r="I160" s="13">
        <v>2</v>
      </c>
      <c r="K160" s="13">
        <v>3</v>
      </c>
      <c r="L160" s="13">
        <v>100</v>
      </c>
      <c r="M160" s="13">
        <v>3</v>
      </c>
      <c r="N160" s="54">
        <v>2</v>
      </c>
      <c r="O160" s="54" t="s">
        <v>414</v>
      </c>
      <c r="P160" s="54">
        <v>10</v>
      </c>
      <c r="Q160" s="54">
        <v>-1</v>
      </c>
      <c r="R160" s="21" t="s">
        <v>415</v>
      </c>
      <c r="U160" s="13">
        <v>0</v>
      </c>
      <c r="V160" s="13">
        <v>20000</v>
      </c>
      <c r="W160" s="13">
        <v>570</v>
      </c>
      <c r="X160" s="13" t="s">
        <v>416</v>
      </c>
      <c r="Y160" s="13">
        <v>750</v>
      </c>
      <c r="Z160" s="13">
        <v>2700</v>
      </c>
      <c r="AA160" s="13">
        <v>30000</v>
      </c>
      <c r="AC160" s="13">
        <v>1</v>
      </c>
      <c r="AD160" s="13">
        <v>1</v>
      </c>
      <c r="AE160" s="13" t="s">
        <v>326</v>
      </c>
      <c r="AF160" s="55"/>
      <c r="AH160" s="13">
        <v>0</v>
      </c>
      <c r="AI160" s="13">
        <v>0</v>
      </c>
      <c r="AJ160" s="13">
        <v>0</v>
      </c>
      <c r="AK160" s="13">
        <v>0</v>
      </c>
    </row>
    <row r="161" s="13" customFormat="1" spans="1:37">
      <c r="A161" s="13">
        <v>4308302</v>
      </c>
      <c r="B161" s="13">
        <v>4308301</v>
      </c>
      <c r="C161" s="13" t="s">
        <v>411</v>
      </c>
      <c r="D161" s="13" t="s">
        <v>412</v>
      </c>
      <c r="E161" s="13">
        <v>4308301</v>
      </c>
      <c r="F161" s="13">
        <v>2</v>
      </c>
      <c r="G161" s="13">
        <v>2</v>
      </c>
      <c r="H161" s="13" t="s">
        <v>138</v>
      </c>
      <c r="I161" s="13">
        <v>2</v>
      </c>
      <c r="K161" s="13">
        <v>3</v>
      </c>
      <c r="L161" s="13">
        <v>100</v>
      </c>
      <c r="M161" s="13">
        <v>3</v>
      </c>
      <c r="N161" s="54">
        <v>2</v>
      </c>
      <c r="O161" s="54" t="s">
        <v>414</v>
      </c>
      <c r="P161" s="54">
        <v>10</v>
      </c>
      <c r="Q161" s="54">
        <v>-1</v>
      </c>
      <c r="R161" s="21" t="s">
        <v>415</v>
      </c>
      <c r="U161" s="13">
        <v>0</v>
      </c>
      <c r="V161" s="13">
        <v>30000</v>
      </c>
      <c r="W161" s="13">
        <v>570</v>
      </c>
      <c r="X161" s="13" t="s">
        <v>416</v>
      </c>
      <c r="Y161" s="13">
        <v>750</v>
      </c>
      <c r="Z161" s="13">
        <v>2700</v>
      </c>
      <c r="AA161" s="13">
        <v>30000</v>
      </c>
      <c r="AC161" s="13">
        <v>1</v>
      </c>
      <c r="AD161" s="13">
        <v>1</v>
      </c>
      <c r="AE161" s="13" t="s">
        <v>326</v>
      </c>
      <c r="AF161" s="55"/>
      <c r="AH161" s="13">
        <v>0</v>
      </c>
      <c r="AI161" s="13">
        <v>0</v>
      </c>
      <c r="AJ161" s="13">
        <v>0</v>
      </c>
      <c r="AK161" s="13">
        <v>0</v>
      </c>
    </row>
    <row r="162" s="13" customFormat="1" ht="15" spans="1:37">
      <c r="A162" s="52">
        <v>4308303</v>
      </c>
      <c r="B162" s="13">
        <v>4308301</v>
      </c>
      <c r="C162" s="13" t="s">
        <v>411</v>
      </c>
      <c r="D162" s="13" t="s">
        <v>412</v>
      </c>
      <c r="E162" s="13">
        <v>4308301</v>
      </c>
      <c r="F162" s="13">
        <v>2</v>
      </c>
      <c r="G162" s="13">
        <v>3</v>
      </c>
      <c r="H162" s="13" t="s">
        <v>138</v>
      </c>
      <c r="I162" s="13">
        <v>2</v>
      </c>
      <c r="K162" s="13">
        <v>3</v>
      </c>
      <c r="L162" s="6">
        <v>100</v>
      </c>
      <c r="M162" s="13">
        <v>3</v>
      </c>
      <c r="N162" s="21">
        <v>2</v>
      </c>
      <c r="O162" s="21" t="s">
        <v>414</v>
      </c>
      <c r="P162" s="21">
        <v>10</v>
      </c>
      <c r="Q162" s="21">
        <v>-1</v>
      </c>
      <c r="R162" s="21" t="s">
        <v>415</v>
      </c>
      <c r="U162" s="13">
        <v>0</v>
      </c>
      <c r="V162" s="13">
        <v>40000</v>
      </c>
      <c r="W162" s="13">
        <v>570</v>
      </c>
      <c r="X162" s="13" t="s">
        <v>416</v>
      </c>
      <c r="Y162" s="13">
        <v>750</v>
      </c>
      <c r="Z162" s="13">
        <v>2700</v>
      </c>
      <c r="AA162" s="6">
        <v>30000</v>
      </c>
      <c r="AC162" s="13">
        <v>1</v>
      </c>
      <c r="AD162" s="6">
        <v>1</v>
      </c>
      <c r="AE162" s="6" t="s">
        <v>326</v>
      </c>
      <c r="AF162" s="55"/>
      <c r="AH162" s="13">
        <v>0</v>
      </c>
      <c r="AI162" s="13">
        <v>0</v>
      </c>
      <c r="AJ162" s="13">
        <v>0</v>
      </c>
      <c r="AK162" s="13">
        <v>0</v>
      </c>
    </row>
    <row r="163" s="11" customFormat="1" spans="1:37">
      <c r="A163" s="51">
        <v>4309101</v>
      </c>
      <c r="B163" s="11">
        <v>4309101</v>
      </c>
      <c r="C163" s="11" t="s">
        <v>87</v>
      </c>
      <c r="D163" s="11" t="s">
        <v>417</v>
      </c>
      <c r="F163" s="11">
        <v>1</v>
      </c>
      <c r="G163" s="11">
        <v>1</v>
      </c>
      <c r="I163" s="11">
        <v>7</v>
      </c>
      <c r="J163" s="6" t="s">
        <v>418</v>
      </c>
      <c r="K163" s="11">
        <v>3</v>
      </c>
      <c r="L163" s="11">
        <v>350</v>
      </c>
      <c r="M163" s="11">
        <v>1</v>
      </c>
      <c r="N163" s="11">
        <v>1</v>
      </c>
      <c r="O163" s="11">
        <v>0</v>
      </c>
      <c r="P163" s="11">
        <v>1</v>
      </c>
      <c r="Q163" s="11">
        <v>4309101</v>
      </c>
      <c r="U163" s="11">
        <v>0</v>
      </c>
      <c r="V163" s="11">
        <v>10000</v>
      </c>
      <c r="W163" s="11">
        <v>720</v>
      </c>
      <c r="X163" s="11">
        <v>730</v>
      </c>
      <c r="Y163" s="11">
        <v>870</v>
      </c>
      <c r="Z163" s="11">
        <f t="shared" ref="Z163:Z191" si="13">Y163+50</f>
        <v>920</v>
      </c>
      <c r="AA163" s="11">
        <v>450</v>
      </c>
      <c r="AC163" s="11">
        <v>2</v>
      </c>
      <c r="AD163" s="3">
        <v>0</v>
      </c>
      <c r="AF163" s="42"/>
      <c r="AH163" s="11">
        <v>0</v>
      </c>
      <c r="AI163" s="11">
        <v>0</v>
      </c>
      <c r="AJ163" s="11">
        <v>0</v>
      </c>
      <c r="AK163" s="11">
        <v>0</v>
      </c>
    </row>
    <row r="164" s="6" customFormat="1" spans="1:37">
      <c r="A164" s="52">
        <v>4309201</v>
      </c>
      <c r="B164" s="6">
        <v>4309201</v>
      </c>
      <c r="C164" s="6" t="s">
        <v>419</v>
      </c>
      <c r="D164" s="6" t="s">
        <v>420</v>
      </c>
      <c r="E164" s="6">
        <v>4309201</v>
      </c>
      <c r="F164" s="6">
        <v>2</v>
      </c>
      <c r="G164" s="6">
        <v>1</v>
      </c>
      <c r="H164" s="6" t="s">
        <v>421</v>
      </c>
      <c r="I164" s="6">
        <v>7</v>
      </c>
      <c r="J164" s="6" t="s">
        <v>422</v>
      </c>
      <c r="K164" s="6">
        <v>3</v>
      </c>
      <c r="L164" s="6">
        <v>350</v>
      </c>
      <c r="M164" s="6">
        <v>2</v>
      </c>
      <c r="N164" s="6">
        <v>1</v>
      </c>
      <c r="O164" s="6">
        <v>0</v>
      </c>
      <c r="P164" s="6">
        <v>3</v>
      </c>
      <c r="Q164" s="6">
        <v>4309201</v>
      </c>
      <c r="U164" s="6">
        <v>0</v>
      </c>
      <c r="V164" s="6">
        <v>10000</v>
      </c>
      <c r="W164" s="6">
        <v>0</v>
      </c>
      <c r="X164" s="6">
        <v>0</v>
      </c>
      <c r="Y164" s="6">
        <v>2000</v>
      </c>
      <c r="Z164" s="6">
        <f t="shared" si="13"/>
        <v>2050</v>
      </c>
      <c r="AA164" s="6">
        <v>-1</v>
      </c>
      <c r="AB164" s="6" t="s">
        <v>423</v>
      </c>
      <c r="AC164" s="6">
        <v>1</v>
      </c>
      <c r="AD164" s="3">
        <v>0</v>
      </c>
      <c r="AF164" s="41"/>
      <c r="AH164" s="6">
        <v>0</v>
      </c>
      <c r="AI164" s="6">
        <v>0</v>
      </c>
      <c r="AJ164" s="6">
        <v>0</v>
      </c>
      <c r="AK164" s="6">
        <v>0</v>
      </c>
    </row>
    <row r="165" s="6" customFormat="1" spans="1:37">
      <c r="A165" s="52">
        <v>4309202</v>
      </c>
      <c r="B165" s="6">
        <v>4309201</v>
      </c>
      <c r="C165" s="6" t="s">
        <v>419</v>
      </c>
      <c r="D165" s="6" t="s">
        <v>420</v>
      </c>
      <c r="E165" s="6">
        <v>4309201</v>
      </c>
      <c r="F165" s="6">
        <v>2</v>
      </c>
      <c r="G165" s="6">
        <v>2</v>
      </c>
      <c r="H165" s="6" t="s">
        <v>424</v>
      </c>
      <c r="I165" s="6">
        <v>7</v>
      </c>
      <c r="J165" s="6" t="s">
        <v>422</v>
      </c>
      <c r="K165" s="6">
        <v>3</v>
      </c>
      <c r="L165" s="6">
        <v>350</v>
      </c>
      <c r="M165" s="6">
        <v>2</v>
      </c>
      <c r="N165" s="6">
        <v>1</v>
      </c>
      <c r="O165" s="6">
        <v>0</v>
      </c>
      <c r="P165" s="6">
        <v>3</v>
      </c>
      <c r="Q165" s="6">
        <v>4309201</v>
      </c>
      <c r="U165" s="6">
        <v>0</v>
      </c>
      <c r="V165" s="6">
        <v>10000</v>
      </c>
      <c r="W165" s="6">
        <v>0</v>
      </c>
      <c r="X165" s="6">
        <v>0</v>
      </c>
      <c r="Y165" s="6">
        <v>2000</v>
      </c>
      <c r="Z165" s="6">
        <f t="shared" si="13"/>
        <v>2050</v>
      </c>
      <c r="AA165" s="6">
        <v>-1</v>
      </c>
      <c r="AB165" s="6" t="s">
        <v>423</v>
      </c>
      <c r="AC165" s="6">
        <v>1</v>
      </c>
      <c r="AD165" s="3">
        <v>0</v>
      </c>
      <c r="AF165" s="41"/>
      <c r="AH165" s="6">
        <v>0</v>
      </c>
      <c r="AI165" s="6">
        <v>0</v>
      </c>
      <c r="AJ165" s="6">
        <v>0</v>
      </c>
      <c r="AK165" s="6">
        <v>0</v>
      </c>
    </row>
    <row r="166" s="6" customFormat="1" spans="1:37">
      <c r="A166" s="52">
        <v>4309203</v>
      </c>
      <c r="B166" s="6">
        <v>4309201</v>
      </c>
      <c r="C166" s="6" t="s">
        <v>419</v>
      </c>
      <c r="D166" s="6" t="s">
        <v>420</v>
      </c>
      <c r="E166" s="6">
        <v>4309201</v>
      </c>
      <c r="F166" s="6">
        <v>2</v>
      </c>
      <c r="G166" s="6">
        <v>3</v>
      </c>
      <c r="H166" s="6" t="s">
        <v>425</v>
      </c>
      <c r="I166" s="6">
        <v>7</v>
      </c>
      <c r="J166" s="6" t="s">
        <v>422</v>
      </c>
      <c r="K166" s="6">
        <v>3</v>
      </c>
      <c r="L166" s="6">
        <v>350</v>
      </c>
      <c r="M166" s="6">
        <v>2</v>
      </c>
      <c r="N166" s="6">
        <v>1</v>
      </c>
      <c r="O166" s="6">
        <v>0</v>
      </c>
      <c r="P166" s="6">
        <v>3</v>
      </c>
      <c r="Q166" s="6">
        <v>4309201</v>
      </c>
      <c r="U166" s="6">
        <v>0</v>
      </c>
      <c r="V166" s="6">
        <v>10000</v>
      </c>
      <c r="W166" s="6">
        <v>0</v>
      </c>
      <c r="X166" s="6">
        <v>0</v>
      </c>
      <c r="Y166" s="6">
        <v>2000</v>
      </c>
      <c r="Z166" s="6">
        <f t="shared" si="13"/>
        <v>2050</v>
      </c>
      <c r="AA166" s="6">
        <v>-1</v>
      </c>
      <c r="AB166" s="6" t="s">
        <v>423</v>
      </c>
      <c r="AC166" s="6">
        <v>1</v>
      </c>
      <c r="AD166" s="3">
        <v>0</v>
      </c>
      <c r="AF166" s="41"/>
      <c r="AH166" s="6">
        <v>0</v>
      </c>
      <c r="AI166" s="6">
        <v>0</v>
      </c>
      <c r="AJ166" s="6">
        <v>0</v>
      </c>
      <c r="AK166" s="6">
        <v>0</v>
      </c>
    </row>
    <row r="167" s="6" customFormat="1" spans="1:37">
      <c r="A167" s="52">
        <v>4309301</v>
      </c>
      <c r="B167" s="6">
        <v>4309301</v>
      </c>
      <c r="C167" s="6" t="s">
        <v>426</v>
      </c>
      <c r="D167" s="6" t="s">
        <v>427</v>
      </c>
      <c r="E167" s="6">
        <v>4309301</v>
      </c>
      <c r="F167" s="6">
        <v>2</v>
      </c>
      <c r="G167" s="6">
        <v>1</v>
      </c>
      <c r="H167" s="6" t="s">
        <v>428</v>
      </c>
      <c r="I167" s="6">
        <v>2</v>
      </c>
      <c r="K167" s="6">
        <v>3</v>
      </c>
      <c r="L167" s="6">
        <v>350</v>
      </c>
      <c r="M167" s="6">
        <v>3</v>
      </c>
      <c r="N167" s="6">
        <v>1</v>
      </c>
      <c r="O167" s="6" t="s">
        <v>100</v>
      </c>
      <c r="P167" s="6">
        <v>8</v>
      </c>
      <c r="Q167" s="6">
        <v>4309301</v>
      </c>
      <c r="U167" s="6">
        <v>0</v>
      </c>
      <c r="V167" s="6">
        <v>20000</v>
      </c>
      <c r="W167" s="6">
        <v>0</v>
      </c>
      <c r="X167" s="6">
        <v>1600</v>
      </c>
      <c r="Y167" s="6">
        <v>1730</v>
      </c>
      <c r="Z167" s="6">
        <f t="shared" si="13"/>
        <v>1780</v>
      </c>
      <c r="AA167" s="6">
        <v>16270</v>
      </c>
      <c r="AC167" s="6">
        <v>1</v>
      </c>
      <c r="AD167" s="6">
        <v>1</v>
      </c>
      <c r="AE167" s="6" t="s">
        <v>144</v>
      </c>
      <c r="AF167" s="41"/>
      <c r="AH167" s="6">
        <v>0</v>
      </c>
      <c r="AI167" s="6">
        <v>0</v>
      </c>
      <c r="AJ167" s="6">
        <v>0</v>
      </c>
      <c r="AK167" s="6">
        <v>0</v>
      </c>
    </row>
    <row r="168" s="6" customFormat="1" spans="1:37">
      <c r="A168" s="52">
        <v>4309302</v>
      </c>
      <c r="B168" s="6">
        <v>4309301</v>
      </c>
      <c r="C168" s="6" t="s">
        <v>426</v>
      </c>
      <c r="D168" s="6" t="s">
        <v>427</v>
      </c>
      <c r="E168" s="6">
        <v>4309301</v>
      </c>
      <c r="F168" s="6">
        <v>2</v>
      </c>
      <c r="G168" s="6">
        <v>2</v>
      </c>
      <c r="H168" s="6" t="s">
        <v>138</v>
      </c>
      <c r="I168" s="6">
        <v>2</v>
      </c>
      <c r="K168" s="6">
        <v>3</v>
      </c>
      <c r="L168" s="6">
        <v>350</v>
      </c>
      <c r="M168" s="6">
        <v>3</v>
      </c>
      <c r="N168" s="6">
        <v>1</v>
      </c>
      <c r="O168" s="6" t="s">
        <v>100</v>
      </c>
      <c r="P168" s="6">
        <v>8</v>
      </c>
      <c r="Q168" s="6">
        <v>4309301</v>
      </c>
      <c r="U168" s="6">
        <v>0</v>
      </c>
      <c r="V168" s="6">
        <v>32000</v>
      </c>
      <c r="W168" s="6">
        <v>0</v>
      </c>
      <c r="X168" s="6">
        <v>1600</v>
      </c>
      <c r="Y168" s="6">
        <v>1730</v>
      </c>
      <c r="Z168" s="6">
        <f t="shared" si="13"/>
        <v>1780</v>
      </c>
      <c r="AA168" s="6">
        <v>16270</v>
      </c>
      <c r="AC168" s="6">
        <v>1</v>
      </c>
      <c r="AD168" s="6">
        <v>1</v>
      </c>
      <c r="AE168" s="6" t="s">
        <v>144</v>
      </c>
      <c r="AF168" s="41"/>
      <c r="AH168" s="6">
        <v>0</v>
      </c>
      <c r="AI168" s="6">
        <v>0</v>
      </c>
      <c r="AJ168" s="6">
        <v>0</v>
      </c>
      <c r="AK168" s="6">
        <v>0</v>
      </c>
    </row>
    <row r="169" s="12" customFormat="1" ht="15" spans="1:37">
      <c r="A169" s="53">
        <v>4309303</v>
      </c>
      <c r="B169" s="12">
        <v>4309301</v>
      </c>
      <c r="C169" s="12" t="s">
        <v>426</v>
      </c>
      <c r="D169" s="12" t="s">
        <v>427</v>
      </c>
      <c r="E169" s="12">
        <v>4309301</v>
      </c>
      <c r="F169" s="12">
        <v>2</v>
      </c>
      <c r="G169" s="12">
        <v>3</v>
      </c>
      <c r="H169" s="12" t="s">
        <v>429</v>
      </c>
      <c r="I169" s="12">
        <v>2</v>
      </c>
      <c r="J169" s="6"/>
      <c r="K169" s="12">
        <v>3</v>
      </c>
      <c r="L169" s="12">
        <v>350</v>
      </c>
      <c r="M169" s="12">
        <v>3</v>
      </c>
      <c r="N169" s="12">
        <v>1</v>
      </c>
      <c r="O169" s="12" t="s">
        <v>100</v>
      </c>
      <c r="P169" s="12">
        <v>8</v>
      </c>
      <c r="Q169" s="12">
        <v>4309301</v>
      </c>
      <c r="U169" s="12">
        <v>0</v>
      </c>
      <c r="V169" s="12">
        <v>32000</v>
      </c>
      <c r="W169" s="12">
        <v>0</v>
      </c>
      <c r="X169" s="12">
        <v>1600</v>
      </c>
      <c r="Y169" s="12">
        <v>1730</v>
      </c>
      <c r="Z169" s="12">
        <f t="shared" si="13"/>
        <v>1780</v>
      </c>
      <c r="AA169" s="12">
        <v>16270</v>
      </c>
      <c r="AC169" s="12">
        <v>1</v>
      </c>
      <c r="AD169" s="12">
        <v>1</v>
      </c>
      <c r="AE169" s="12" t="s">
        <v>430</v>
      </c>
      <c r="AF169" s="43"/>
      <c r="AH169" s="12">
        <v>0</v>
      </c>
      <c r="AI169" s="12">
        <v>0</v>
      </c>
      <c r="AJ169" s="12">
        <v>0</v>
      </c>
      <c r="AK169" s="12">
        <v>0</v>
      </c>
    </row>
    <row r="170" s="11" customFormat="1" spans="1:37">
      <c r="A170" s="51">
        <v>4310101</v>
      </c>
      <c r="B170" s="11">
        <v>4310101</v>
      </c>
      <c r="C170" s="11" t="s">
        <v>87</v>
      </c>
      <c r="D170" s="11" t="s">
        <v>431</v>
      </c>
      <c r="F170" s="11">
        <v>1</v>
      </c>
      <c r="G170" s="11">
        <v>1</v>
      </c>
      <c r="I170" s="11">
        <v>1</v>
      </c>
      <c r="K170" s="11">
        <v>3</v>
      </c>
      <c r="L170" s="11">
        <v>100</v>
      </c>
      <c r="M170" s="11">
        <v>1</v>
      </c>
      <c r="N170" s="11">
        <v>1</v>
      </c>
      <c r="O170" s="11">
        <v>0</v>
      </c>
      <c r="P170" s="11">
        <v>0</v>
      </c>
      <c r="Q170" s="11">
        <v>4310101</v>
      </c>
      <c r="U170" s="11">
        <v>0</v>
      </c>
      <c r="V170" s="11">
        <v>10000</v>
      </c>
      <c r="W170" s="11">
        <v>0</v>
      </c>
      <c r="X170" s="11">
        <v>400</v>
      </c>
      <c r="Y170" s="11">
        <v>600</v>
      </c>
      <c r="Z170" s="11">
        <f t="shared" si="13"/>
        <v>650</v>
      </c>
      <c r="AA170" s="11">
        <v>450</v>
      </c>
      <c r="AC170" s="11">
        <v>1</v>
      </c>
      <c r="AD170" s="3">
        <v>0</v>
      </c>
      <c r="AF170" s="42"/>
      <c r="AH170" s="11">
        <v>0</v>
      </c>
      <c r="AI170" s="11">
        <v>0</v>
      </c>
      <c r="AJ170" s="11">
        <v>0</v>
      </c>
      <c r="AK170" s="11">
        <v>0</v>
      </c>
    </row>
    <row r="171" s="6" customFormat="1" spans="1:37">
      <c r="A171" s="52">
        <v>4310201</v>
      </c>
      <c r="B171" s="6">
        <v>4310201</v>
      </c>
      <c r="C171" s="6" t="s">
        <v>432</v>
      </c>
      <c r="D171" s="6" t="s">
        <v>433</v>
      </c>
      <c r="E171" s="6">
        <v>4310201</v>
      </c>
      <c r="F171" s="6">
        <v>2</v>
      </c>
      <c r="G171" s="6">
        <v>1</v>
      </c>
      <c r="H171" s="6" t="s">
        <v>434</v>
      </c>
      <c r="I171" s="6">
        <v>2</v>
      </c>
      <c r="K171" s="6">
        <v>3</v>
      </c>
      <c r="L171" s="6">
        <v>100</v>
      </c>
      <c r="M171" s="6">
        <v>2</v>
      </c>
      <c r="N171" s="6">
        <v>2</v>
      </c>
      <c r="O171" s="6" t="s">
        <v>435</v>
      </c>
      <c r="P171" s="6">
        <v>5</v>
      </c>
      <c r="Q171" s="6">
        <v>4310201</v>
      </c>
      <c r="U171" s="6">
        <v>0</v>
      </c>
      <c r="V171" s="6">
        <v>10000</v>
      </c>
      <c r="W171" s="6">
        <v>0</v>
      </c>
      <c r="X171" s="6">
        <v>400</v>
      </c>
      <c r="Y171" s="6">
        <v>600</v>
      </c>
      <c r="Z171" s="6">
        <f t="shared" si="13"/>
        <v>650</v>
      </c>
      <c r="AA171" s="6">
        <v>-1</v>
      </c>
      <c r="AB171" s="6" t="s">
        <v>133</v>
      </c>
      <c r="AC171" s="6">
        <v>1</v>
      </c>
      <c r="AD171" s="3">
        <v>0</v>
      </c>
      <c r="AF171" s="41"/>
      <c r="AH171" s="6">
        <v>0</v>
      </c>
      <c r="AI171" s="6">
        <v>0</v>
      </c>
      <c r="AJ171" s="6">
        <v>0</v>
      </c>
      <c r="AK171" s="6">
        <v>0</v>
      </c>
    </row>
    <row r="172" s="6" customFormat="1" spans="1:37">
      <c r="A172" s="52">
        <v>4310202</v>
      </c>
      <c r="B172" s="6">
        <v>4310201</v>
      </c>
      <c r="C172" s="6" t="s">
        <v>432</v>
      </c>
      <c r="D172" s="6" t="s">
        <v>433</v>
      </c>
      <c r="E172" s="6">
        <v>4310201</v>
      </c>
      <c r="F172" s="6">
        <v>2</v>
      </c>
      <c r="G172" s="6">
        <v>2</v>
      </c>
      <c r="H172" s="6" t="s">
        <v>138</v>
      </c>
      <c r="I172" s="6">
        <v>2</v>
      </c>
      <c r="K172" s="6">
        <v>3</v>
      </c>
      <c r="L172" s="6">
        <v>100</v>
      </c>
      <c r="M172" s="6">
        <v>2</v>
      </c>
      <c r="N172" s="6">
        <v>2</v>
      </c>
      <c r="O172" s="6" t="s">
        <v>435</v>
      </c>
      <c r="P172" s="6">
        <v>5</v>
      </c>
      <c r="Q172" s="6">
        <v>4310201</v>
      </c>
      <c r="U172" s="6">
        <v>0</v>
      </c>
      <c r="V172" s="6">
        <v>12000</v>
      </c>
      <c r="W172" s="6">
        <v>0</v>
      </c>
      <c r="X172" s="6">
        <v>400</v>
      </c>
      <c r="Y172" s="6">
        <v>600</v>
      </c>
      <c r="Z172" s="6">
        <f t="shared" si="13"/>
        <v>650</v>
      </c>
      <c r="AA172" s="6">
        <v>-1</v>
      </c>
      <c r="AB172" s="6" t="s">
        <v>133</v>
      </c>
      <c r="AC172" s="6">
        <v>1</v>
      </c>
      <c r="AD172" s="3">
        <v>0</v>
      </c>
      <c r="AF172" s="41"/>
      <c r="AH172" s="6">
        <v>0</v>
      </c>
      <c r="AI172" s="6">
        <v>0</v>
      </c>
      <c r="AJ172" s="6">
        <v>0</v>
      </c>
      <c r="AK172" s="6">
        <v>0</v>
      </c>
    </row>
    <row r="173" s="6" customFormat="1" spans="1:37">
      <c r="A173" s="52">
        <v>4310203</v>
      </c>
      <c r="B173" s="6">
        <v>4310201</v>
      </c>
      <c r="C173" s="6" t="s">
        <v>432</v>
      </c>
      <c r="D173" s="6" t="s">
        <v>433</v>
      </c>
      <c r="E173" s="6">
        <v>4310201</v>
      </c>
      <c r="F173" s="6">
        <v>2</v>
      </c>
      <c r="G173" s="6">
        <v>3</v>
      </c>
      <c r="H173" s="6" t="s">
        <v>436</v>
      </c>
      <c r="I173" s="6">
        <v>2</v>
      </c>
      <c r="K173" s="6">
        <v>3</v>
      </c>
      <c r="L173" s="6">
        <v>100</v>
      </c>
      <c r="M173" s="6">
        <v>2</v>
      </c>
      <c r="N173" s="6">
        <v>2</v>
      </c>
      <c r="O173" s="6" t="s">
        <v>435</v>
      </c>
      <c r="P173" s="6">
        <v>5</v>
      </c>
      <c r="Q173" s="6">
        <v>4310201</v>
      </c>
      <c r="U173" s="6">
        <v>0</v>
      </c>
      <c r="V173" s="6">
        <v>12000</v>
      </c>
      <c r="W173" s="6">
        <v>0</v>
      </c>
      <c r="X173" s="6">
        <v>400</v>
      </c>
      <c r="Y173" s="6">
        <v>600</v>
      </c>
      <c r="Z173" s="6">
        <f t="shared" si="13"/>
        <v>650</v>
      </c>
      <c r="AA173" s="6">
        <v>-1</v>
      </c>
      <c r="AB173" s="6" t="s">
        <v>133</v>
      </c>
      <c r="AC173" s="6">
        <v>1</v>
      </c>
      <c r="AD173" s="3">
        <v>0</v>
      </c>
      <c r="AF173" s="41"/>
      <c r="AH173" s="6">
        <v>0</v>
      </c>
      <c r="AI173" s="6">
        <v>0</v>
      </c>
      <c r="AJ173" s="6">
        <v>0</v>
      </c>
      <c r="AK173" s="6">
        <v>0</v>
      </c>
    </row>
    <row r="174" s="6" customFormat="1" spans="1:37">
      <c r="A174" s="52">
        <v>4310301</v>
      </c>
      <c r="B174" s="6">
        <v>4310301</v>
      </c>
      <c r="C174" s="6" t="s">
        <v>437</v>
      </c>
      <c r="D174" s="6" t="s">
        <v>438</v>
      </c>
      <c r="E174" s="6">
        <v>4310301</v>
      </c>
      <c r="F174" s="6">
        <v>2</v>
      </c>
      <c r="G174" s="6">
        <v>1</v>
      </c>
      <c r="H174" s="6" t="s">
        <v>439</v>
      </c>
      <c r="I174" s="6">
        <v>2</v>
      </c>
      <c r="K174" s="6">
        <v>3</v>
      </c>
      <c r="L174" s="6">
        <v>100</v>
      </c>
      <c r="M174" s="6">
        <v>3</v>
      </c>
      <c r="N174" s="6">
        <v>2</v>
      </c>
      <c r="O174" s="6" t="s">
        <v>440</v>
      </c>
      <c r="P174" s="6">
        <v>10</v>
      </c>
      <c r="Q174" s="6">
        <v>4310301</v>
      </c>
      <c r="U174" s="6">
        <v>0</v>
      </c>
      <c r="V174" s="6">
        <v>20000</v>
      </c>
      <c r="W174" s="6">
        <v>0</v>
      </c>
      <c r="X174" s="6">
        <v>470</v>
      </c>
      <c r="Y174" s="6">
        <v>1070</v>
      </c>
      <c r="Z174" s="6">
        <f t="shared" si="13"/>
        <v>1120</v>
      </c>
      <c r="AA174" s="6">
        <v>18930</v>
      </c>
      <c r="AC174" s="6">
        <v>1</v>
      </c>
      <c r="AD174" s="6">
        <v>1</v>
      </c>
      <c r="AE174" s="6" t="s">
        <v>326</v>
      </c>
      <c r="AF174" s="41"/>
      <c r="AH174" s="6">
        <v>0</v>
      </c>
      <c r="AI174" s="6">
        <v>0</v>
      </c>
      <c r="AJ174" s="6">
        <v>0</v>
      </c>
      <c r="AK174" s="6">
        <v>0</v>
      </c>
    </row>
    <row r="175" s="6" customFormat="1" spans="1:37">
      <c r="A175" s="52">
        <v>4310302</v>
      </c>
      <c r="B175" s="6">
        <v>4310301</v>
      </c>
      <c r="C175" s="6" t="s">
        <v>437</v>
      </c>
      <c r="D175" s="6" t="s">
        <v>438</v>
      </c>
      <c r="E175" s="6">
        <v>4310301</v>
      </c>
      <c r="F175" s="6">
        <v>2</v>
      </c>
      <c r="G175" s="6">
        <v>2</v>
      </c>
      <c r="H175" s="6" t="s">
        <v>138</v>
      </c>
      <c r="I175" s="6">
        <v>2</v>
      </c>
      <c r="K175" s="6">
        <v>3</v>
      </c>
      <c r="L175" s="6">
        <v>100</v>
      </c>
      <c r="M175" s="6">
        <v>3</v>
      </c>
      <c r="N175" s="6">
        <v>2</v>
      </c>
      <c r="O175" s="6" t="s">
        <v>440</v>
      </c>
      <c r="P175" s="6">
        <v>10</v>
      </c>
      <c r="Q175" s="6">
        <v>4310301</v>
      </c>
      <c r="U175" s="6">
        <v>0</v>
      </c>
      <c r="V175" s="6">
        <v>24000</v>
      </c>
      <c r="W175" s="6">
        <v>0</v>
      </c>
      <c r="X175" s="6">
        <v>470</v>
      </c>
      <c r="Y175" s="6">
        <v>1070</v>
      </c>
      <c r="Z175" s="6">
        <f t="shared" si="13"/>
        <v>1120</v>
      </c>
      <c r="AA175" s="6">
        <v>18930</v>
      </c>
      <c r="AC175" s="6">
        <v>1</v>
      </c>
      <c r="AD175" s="6">
        <v>1</v>
      </c>
      <c r="AE175" s="6" t="s">
        <v>326</v>
      </c>
      <c r="AF175" s="41"/>
      <c r="AH175" s="6">
        <v>0</v>
      </c>
      <c r="AI175" s="6">
        <v>0</v>
      </c>
      <c r="AJ175" s="6">
        <v>0</v>
      </c>
      <c r="AK175" s="6">
        <v>0</v>
      </c>
    </row>
    <row r="176" s="12" customFormat="1" ht="15" spans="1:37">
      <c r="A176" s="53">
        <v>4310303</v>
      </c>
      <c r="B176" s="12">
        <v>4310301</v>
      </c>
      <c r="C176" s="12" t="s">
        <v>437</v>
      </c>
      <c r="D176" s="12" t="s">
        <v>438</v>
      </c>
      <c r="E176" s="12">
        <v>4310301</v>
      </c>
      <c r="F176" s="12">
        <v>2</v>
      </c>
      <c r="G176" s="12">
        <v>3</v>
      </c>
      <c r="H176" s="12" t="s">
        <v>125</v>
      </c>
      <c r="I176" s="12">
        <v>2</v>
      </c>
      <c r="K176" s="12">
        <v>3</v>
      </c>
      <c r="L176" s="12">
        <v>100</v>
      </c>
      <c r="M176" s="12">
        <v>3</v>
      </c>
      <c r="N176" s="12">
        <v>2</v>
      </c>
      <c r="O176" s="12" t="s">
        <v>440</v>
      </c>
      <c r="P176" s="12">
        <v>10</v>
      </c>
      <c r="Q176" s="12">
        <v>4310301</v>
      </c>
      <c r="U176" s="12">
        <v>0</v>
      </c>
      <c r="V176" s="12">
        <v>24000</v>
      </c>
      <c r="W176" s="12">
        <v>0</v>
      </c>
      <c r="X176" s="12">
        <v>470</v>
      </c>
      <c r="Y176" s="12">
        <v>1070</v>
      </c>
      <c r="Z176" s="12">
        <f t="shared" si="13"/>
        <v>1120</v>
      </c>
      <c r="AA176" s="12">
        <v>13930</v>
      </c>
      <c r="AC176" s="12">
        <v>1</v>
      </c>
      <c r="AD176" s="6">
        <v>1</v>
      </c>
      <c r="AE176" s="6" t="s">
        <v>326</v>
      </c>
      <c r="AF176" s="43"/>
      <c r="AH176" s="12">
        <v>0</v>
      </c>
      <c r="AI176" s="12">
        <v>0</v>
      </c>
      <c r="AJ176" s="12">
        <v>0</v>
      </c>
      <c r="AK176" s="12">
        <v>0</v>
      </c>
    </row>
    <row r="177" s="14" customFormat="1" spans="1:37">
      <c r="A177" s="14">
        <v>4311101</v>
      </c>
      <c r="B177" s="14">
        <v>4311101</v>
      </c>
      <c r="C177" s="14" t="s">
        <v>87</v>
      </c>
      <c r="D177" s="14" t="s">
        <v>441</v>
      </c>
      <c r="F177" s="14">
        <v>1</v>
      </c>
      <c r="G177" s="14">
        <v>1</v>
      </c>
      <c r="I177" s="14">
        <v>1</v>
      </c>
      <c r="K177" s="14">
        <v>3</v>
      </c>
      <c r="L177" s="14">
        <v>100</v>
      </c>
      <c r="M177" s="14">
        <v>1</v>
      </c>
      <c r="N177" s="14">
        <v>1</v>
      </c>
      <c r="O177" s="14">
        <v>0</v>
      </c>
      <c r="P177" s="14">
        <v>1</v>
      </c>
      <c r="Q177" s="14">
        <v>4311101</v>
      </c>
      <c r="U177" s="14">
        <v>0</v>
      </c>
      <c r="V177" s="14">
        <v>10000</v>
      </c>
      <c r="W177" s="14">
        <v>0</v>
      </c>
      <c r="X177" s="14">
        <v>330</v>
      </c>
      <c r="Y177" s="14">
        <v>600</v>
      </c>
      <c r="Z177" s="10">
        <f t="shared" si="13"/>
        <v>650</v>
      </c>
      <c r="AA177" s="14">
        <v>450</v>
      </c>
      <c r="AC177" s="14">
        <v>1</v>
      </c>
      <c r="AD177" s="3">
        <v>0</v>
      </c>
      <c r="AF177" s="56"/>
      <c r="AH177" s="6">
        <v>0</v>
      </c>
      <c r="AI177" s="6">
        <v>0</v>
      </c>
      <c r="AJ177" s="14">
        <v>0</v>
      </c>
      <c r="AK177" s="14">
        <v>0</v>
      </c>
    </row>
    <row r="178" s="14" customFormat="1" spans="1:37">
      <c r="A178" s="14">
        <v>4311201</v>
      </c>
      <c r="B178" s="14">
        <v>4311201</v>
      </c>
      <c r="C178" s="14" t="s">
        <v>442</v>
      </c>
      <c r="D178" s="14" t="s">
        <v>443</v>
      </c>
      <c r="E178" s="14">
        <v>4311201</v>
      </c>
      <c r="F178" s="14">
        <v>2</v>
      </c>
      <c r="G178" s="14">
        <v>1</v>
      </c>
      <c r="H178" s="14" t="s">
        <v>444</v>
      </c>
      <c r="I178" s="14">
        <v>2</v>
      </c>
      <c r="K178" s="14">
        <v>3</v>
      </c>
      <c r="L178" s="14">
        <v>100</v>
      </c>
      <c r="M178" s="14">
        <v>2</v>
      </c>
      <c r="N178" s="14">
        <v>2</v>
      </c>
      <c r="O178" s="14" t="s">
        <v>445</v>
      </c>
      <c r="P178" s="14">
        <v>5</v>
      </c>
      <c r="Q178" s="14">
        <v>4311201</v>
      </c>
      <c r="U178" s="14">
        <v>0</v>
      </c>
      <c r="V178" s="14">
        <v>10000</v>
      </c>
      <c r="W178" s="14">
        <v>0</v>
      </c>
      <c r="X178" s="14">
        <v>470</v>
      </c>
      <c r="Y178" s="14">
        <v>930</v>
      </c>
      <c r="Z178" s="10">
        <f t="shared" si="13"/>
        <v>980</v>
      </c>
      <c r="AA178" s="14">
        <v>-1</v>
      </c>
      <c r="AB178" s="14" t="s">
        <v>133</v>
      </c>
      <c r="AC178" s="14">
        <v>1</v>
      </c>
      <c r="AD178" s="3">
        <v>0</v>
      </c>
      <c r="AF178" s="56"/>
      <c r="AH178" s="6">
        <v>0</v>
      </c>
      <c r="AI178" s="6">
        <v>0</v>
      </c>
      <c r="AJ178" s="14">
        <v>0</v>
      </c>
      <c r="AK178" s="14">
        <v>0</v>
      </c>
    </row>
    <row r="179" s="14" customFormat="1" spans="1:37">
      <c r="A179" s="14">
        <v>4311202</v>
      </c>
      <c r="B179" s="14">
        <v>4311201</v>
      </c>
      <c r="C179" s="14" t="s">
        <v>442</v>
      </c>
      <c r="D179" s="14" t="s">
        <v>443</v>
      </c>
      <c r="E179" s="14">
        <v>4311201</v>
      </c>
      <c r="F179" s="14">
        <v>2</v>
      </c>
      <c r="G179" s="14">
        <v>2</v>
      </c>
      <c r="H179" s="14" t="s">
        <v>446</v>
      </c>
      <c r="I179" s="14">
        <v>2</v>
      </c>
      <c r="K179" s="14">
        <v>3</v>
      </c>
      <c r="L179" s="14">
        <v>100</v>
      </c>
      <c r="M179" s="14">
        <v>2</v>
      </c>
      <c r="N179" s="14">
        <v>2</v>
      </c>
      <c r="O179" s="14" t="s">
        <v>445</v>
      </c>
      <c r="P179" s="14">
        <v>5</v>
      </c>
      <c r="Q179" s="14">
        <v>4311201</v>
      </c>
      <c r="U179" s="14">
        <v>0</v>
      </c>
      <c r="V179" s="14">
        <v>10000</v>
      </c>
      <c r="W179" s="14">
        <v>0</v>
      </c>
      <c r="X179" s="14">
        <v>470</v>
      </c>
      <c r="Y179" s="14">
        <v>930</v>
      </c>
      <c r="Z179" s="10">
        <f t="shared" si="13"/>
        <v>980</v>
      </c>
      <c r="AA179" s="14">
        <v>-1</v>
      </c>
      <c r="AB179" s="14" t="s">
        <v>92</v>
      </c>
      <c r="AC179" s="14">
        <v>1</v>
      </c>
      <c r="AD179" s="3">
        <v>0</v>
      </c>
      <c r="AF179" s="56"/>
      <c r="AH179" s="6">
        <v>0</v>
      </c>
      <c r="AI179" s="6">
        <v>0</v>
      </c>
      <c r="AJ179" s="14">
        <v>0</v>
      </c>
      <c r="AK179" s="14">
        <v>0</v>
      </c>
    </row>
    <row r="180" s="14" customFormat="1" spans="1:37">
      <c r="A180" s="14">
        <v>4311203</v>
      </c>
      <c r="B180" s="14">
        <v>4311201</v>
      </c>
      <c r="C180" s="14" t="s">
        <v>442</v>
      </c>
      <c r="D180" s="14" t="s">
        <v>443</v>
      </c>
      <c r="E180" s="14">
        <v>4311201</v>
      </c>
      <c r="F180" s="14">
        <v>2</v>
      </c>
      <c r="G180" s="14">
        <v>3</v>
      </c>
      <c r="H180" s="14" t="s">
        <v>447</v>
      </c>
      <c r="I180" s="14">
        <v>2</v>
      </c>
      <c r="K180" s="14">
        <v>3</v>
      </c>
      <c r="L180" s="14">
        <v>100</v>
      </c>
      <c r="M180" s="14">
        <v>2</v>
      </c>
      <c r="N180" s="14">
        <v>2</v>
      </c>
      <c r="O180" s="14" t="s">
        <v>445</v>
      </c>
      <c r="P180" s="14">
        <v>5</v>
      </c>
      <c r="Q180" s="14">
        <v>4311201</v>
      </c>
      <c r="U180" s="14">
        <v>0</v>
      </c>
      <c r="V180" s="14">
        <v>10000</v>
      </c>
      <c r="W180" s="14">
        <v>0</v>
      </c>
      <c r="X180" s="14">
        <v>470</v>
      </c>
      <c r="Y180" s="14">
        <v>930</v>
      </c>
      <c r="Z180" s="10">
        <f t="shared" si="13"/>
        <v>980</v>
      </c>
      <c r="AA180" s="14">
        <v>-1</v>
      </c>
      <c r="AB180" s="14" t="s">
        <v>92</v>
      </c>
      <c r="AC180" s="14">
        <v>1</v>
      </c>
      <c r="AD180" s="3">
        <v>0</v>
      </c>
      <c r="AF180" s="56"/>
      <c r="AH180" s="6">
        <v>0</v>
      </c>
      <c r="AI180" s="6">
        <v>0</v>
      </c>
      <c r="AJ180" s="14">
        <v>0</v>
      </c>
      <c r="AK180" s="14">
        <v>0</v>
      </c>
    </row>
    <row r="181" s="14" customFormat="1" spans="1:37">
      <c r="A181" s="14">
        <v>4311301</v>
      </c>
      <c r="B181" s="14">
        <v>4311301</v>
      </c>
      <c r="C181" s="14" t="s">
        <v>448</v>
      </c>
      <c r="D181" s="14" t="s">
        <v>449</v>
      </c>
      <c r="E181" s="14">
        <v>4311301</v>
      </c>
      <c r="F181" s="14">
        <v>2</v>
      </c>
      <c r="G181" s="14">
        <v>1</v>
      </c>
      <c r="H181" s="14" t="s">
        <v>450</v>
      </c>
      <c r="I181" s="14">
        <v>2</v>
      </c>
      <c r="K181" s="14">
        <v>3</v>
      </c>
      <c r="L181" s="14">
        <v>100</v>
      </c>
      <c r="M181" s="14">
        <v>3</v>
      </c>
      <c r="N181" s="14">
        <v>1</v>
      </c>
      <c r="O181" s="14">
        <v>0</v>
      </c>
      <c r="P181" s="14">
        <v>1</v>
      </c>
      <c r="Q181" s="14">
        <v>4311301</v>
      </c>
      <c r="U181" s="14">
        <v>0</v>
      </c>
      <c r="V181" s="14">
        <v>10000</v>
      </c>
      <c r="W181" s="14">
        <v>0</v>
      </c>
      <c r="X181" s="14">
        <v>470</v>
      </c>
      <c r="Y181" s="14">
        <v>930</v>
      </c>
      <c r="Z181" s="10">
        <f t="shared" si="13"/>
        <v>980</v>
      </c>
      <c r="AA181" s="14">
        <v>9070</v>
      </c>
      <c r="AC181" s="14">
        <v>1</v>
      </c>
      <c r="AD181" s="3">
        <v>0</v>
      </c>
      <c r="AF181" s="56"/>
      <c r="AH181" s="6">
        <v>0</v>
      </c>
      <c r="AI181" s="6">
        <v>0</v>
      </c>
      <c r="AJ181" s="14">
        <v>0</v>
      </c>
      <c r="AK181" s="14">
        <v>0</v>
      </c>
    </row>
    <row r="182" s="14" customFormat="1" spans="1:37">
      <c r="A182" s="14">
        <v>4311302</v>
      </c>
      <c r="B182" s="14">
        <v>4311301</v>
      </c>
      <c r="C182" s="14" t="s">
        <v>448</v>
      </c>
      <c r="D182" s="14" t="s">
        <v>449</v>
      </c>
      <c r="E182" s="14">
        <v>4311301</v>
      </c>
      <c r="F182" s="14">
        <v>2</v>
      </c>
      <c r="G182" s="14">
        <v>2</v>
      </c>
      <c r="H182" s="14" t="s">
        <v>358</v>
      </c>
      <c r="I182" s="14">
        <v>2</v>
      </c>
      <c r="K182" s="14">
        <v>3</v>
      </c>
      <c r="L182" s="14">
        <v>100</v>
      </c>
      <c r="M182" s="14">
        <v>3</v>
      </c>
      <c r="N182" s="14">
        <v>1</v>
      </c>
      <c r="O182" s="14">
        <v>0</v>
      </c>
      <c r="P182" s="14">
        <v>1</v>
      </c>
      <c r="Q182" s="14">
        <v>4311301</v>
      </c>
      <c r="U182" s="14">
        <v>0</v>
      </c>
      <c r="V182" s="14">
        <v>10000</v>
      </c>
      <c r="W182" s="14">
        <v>0</v>
      </c>
      <c r="X182" s="14">
        <v>470</v>
      </c>
      <c r="Y182" s="14">
        <v>930</v>
      </c>
      <c r="Z182" s="10">
        <f t="shared" si="13"/>
        <v>980</v>
      </c>
      <c r="AA182" s="14">
        <v>9070</v>
      </c>
      <c r="AC182" s="14">
        <v>1</v>
      </c>
      <c r="AD182" s="3">
        <v>0</v>
      </c>
      <c r="AF182" s="56"/>
      <c r="AH182" s="6">
        <v>0</v>
      </c>
      <c r="AI182" s="6">
        <v>0</v>
      </c>
      <c r="AJ182" s="14">
        <v>0</v>
      </c>
      <c r="AK182" s="14">
        <v>0</v>
      </c>
    </row>
    <row r="183" s="14" customFormat="1" spans="1:37">
      <c r="A183" s="14">
        <v>4311303</v>
      </c>
      <c r="B183" s="14">
        <v>4311301</v>
      </c>
      <c r="C183" s="14" t="s">
        <v>448</v>
      </c>
      <c r="D183" s="14" t="s">
        <v>449</v>
      </c>
      <c r="E183" s="14">
        <v>4311301</v>
      </c>
      <c r="F183" s="14">
        <v>2</v>
      </c>
      <c r="G183" s="14">
        <v>3</v>
      </c>
      <c r="H183" s="14" t="s">
        <v>451</v>
      </c>
      <c r="I183" s="14">
        <v>2</v>
      </c>
      <c r="K183" s="14">
        <v>3</v>
      </c>
      <c r="L183" s="14">
        <v>100</v>
      </c>
      <c r="M183" s="14">
        <v>3</v>
      </c>
      <c r="N183" s="14">
        <v>1</v>
      </c>
      <c r="O183" s="14">
        <v>0</v>
      </c>
      <c r="P183" s="14">
        <v>1</v>
      </c>
      <c r="Q183" s="14">
        <v>4311301</v>
      </c>
      <c r="U183" s="14">
        <v>0</v>
      </c>
      <c r="V183" s="14">
        <v>10000</v>
      </c>
      <c r="W183" s="14">
        <v>0</v>
      </c>
      <c r="X183" s="14">
        <v>470</v>
      </c>
      <c r="Y183" s="14">
        <v>930</v>
      </c>
      <c r="Z183" s="10">
        <f t="shared" si="13"/>
        <v>980</v>
      </c>
      <c r="AA183" s="14">
        <v>9070</v>
      </c>
      <c r="AC183" s="14">
        <v>1</v>
      </c>
      <c r="AD183" s="3">
        <v>0</v>
      </c>
      <c r="AF183" s="56"/>
      <c r="AH183" s="6">
        <v>0</v>
      </c>
      <c r="AI183" s="6">
        <v>0</v>
      </c>
      <c r="AJ183" s="14">
        <v>0</v>
      </c>
      <c r="AK183" s="14">
        <v>0</v>
      </c>
    </row>
    <row r="184" s="6" customFormat="1" spans="1:37">
      <c r="A184" s="6">
        <v>4312101</v>
      </c>
      <c r="B184" s="6">
        <v>4312101</v>
      </c>
      <c r="C184" s="6" t="s">
        <v>87</v>
      </c>
      <c r="D184" s="6" t="s">
        <v>452</v>
      </c>
      <c r="F184" s="6">
        <v>1</v>
      </c>
      <c r="G184" s="6">
        <v>1</v>
      </c>
      <c r="I184" s="6">
        <v>7</v>
      </c>
      <c r="J184" s="6" t="s">
        <v>453</v>
      </c>
      <c r="K184" s="6">
        <v>3</v>
      </c>
      <c r="L184" s="6">
        <v>350</v>
      </c>
      <c r="M184" s="6">
        <v>1</v>
      </c>
      <c r="N184" s="6">
        <v>1</v>
      </c>
      <c r="O184" s="6">
        <v>0</v>
      </c>
      <c r="P184" s="6">
        <v>1</v>
      </c>
      <c r="Q184" s="6">
        <v>4312101</v>
      </c>
      <c r="U184" s="6">
        <v>0</v>
      </c>
      <c r="V184" s="6">
        <v>10000</v>
      </c>
      <c r="W184" s="6">
        <f>X184-100</f>
        <v>400</v>
      </c>
      <c r="X184" s="6">
        <v>500</v>
      </c>
      <c r="Y184" s="6">
        <v>670</v>
      </c>
      <c r="Z184" s="6">
        <f t="shared" si="13"/>
        <v>720</v>
      </c>
      <c r="AA184" s="6">
        <v>450</v>
      </c>
      <c r="AC184" s="6">
        <v>1</v>
      </c>
      <c r="AD184" s="3">
        <v>0</v>
      </c>
      <c r="AF184" s="41"/>
      <c r="AH184" s="6">
        <v>0</v>
      </c>
      <c r="AI184" s="6">
        <v>0</v>
      </c>
      <c r="AJ184" s="6">
        <v>0</v>
      </c>
      <c r="AK184" s="6">
        <v>0</v>
      </c>
    </row>
    <row r="185" s="6" customFormat="1" spans="1:37">
      <c r="A185" s="6">
        <v>4312201</v>
      </c>
      <c r="B185" s="6">
        <v>4312201</v>
      </c>
      <c r="C185" s="6" t="s">
        <v>454</v>
      </c>
      <c r="D185" s="6" t="s">
        <v>455</v>
      </c>
      <c r="E185" s="6">
        <v>4312201</v>
      </c>
      <c r="F185" s="6">
        <v>2</v>
      </c>
      <c r="G185" s="6">
        <v>1</v>
      </c>
      <c r="H185" s="6" t="s">
        <v>456</v>
      </c>
      <c r="I185" s="6">
        <v>7</v>
      </c>
      <c r="J185" s="6" t="s">
        <v>457</v>
      </c>
      <c r="K185" s="6">
        <v>3</v>
      </c>
      <c r="L185" s="6">
        <v>350</v>
      </c>
      <c r="M185" s="6">
        <v>2</v>
      </c>
      <c r="N185" s="6">
        <v>2</v>
      </c>
      <c r="O185" s="6" t="s">
        <v>356</v>
      </c>
      <c r="P185" s="6">
        <v>5</v>
      </c>
      <c r="Q185" s="6">
        <v>4312201</v>
      </c>
      <c r="U185" s="6">
        <v>0</v>
      </c>
      <c r="V185" s="6">
        <v>10000</v>
      </c>
      <c r="W185" s="6">
        <f t="shared" ref="W185:W190" si="14">X185-100</f>
        <v>770</v>
      </c>
      <c r="X185" s="6">
        <v>870</v>
      </c>
      <c r="Y185" s="6">
        <v>1000</v>
      </c>
      <c r="Z185" s="6">
        <f t="shared" si="13"/>
        <v>1050</v>
      </c>
      <c r="AA185" s="6">
        <v>-1</v>
      </c>
      <c r="AB185" s="6" t="s">
        <v>186</v>
      </c>
      <c r="AC185" s="6">
        <v>1</v>
      </c>
      <c r="AD185" s="3">
        <v>0</v>
      </c>
      <c r="AF185" s="41"/>
      <c r="AH185" s="6">
        <v>0</v>
      </c>
      <c r="AI185" s="6">
        <v>0</v>
      </c>
      <c r="AJ185" s="6">
        <v>0</v>
      </c>
      <c r="AK185" s="6">
        <v>0</v>
      </c>
    </row>
    <row r="186" s="6" customFormat="1" spans="1:37">
      <c r="A186" s="6">
        <v>4312202</v>
      </c>
      <c r="B186" s="6">
        <v>4312201</v>
      </c>
      <c r="C186" s="6" t="s">
        <v>454</v>
      </c>
      <c r="D186" s="6" t="s">
        <v>455</v>
      </c>
      <c r="E186" s="6">
        <v>4312201</v>
      </c>
      <c r="F186" s="6">
        <v>2</v>
      </c>
      <c r="G186" s="6">
        <v>2</v>
      </c>
      <c r="H186" s="6" t="s">
        <v>458</v>
      </c>
      <c r="I186" s="6">
        <v>7</v>
      </c>
      <c r="J186" s="6" t="s">
        <v>457</v>
      </c>
      <c r="K186" s="6">
        <v>3</v>
      </c>
      <c r="L186" s="6">
        <v>350</v>
      </c>
      <c r="M186" s="6">
        <v>2</v>
      </c>
      <c r="N186" s="6">
        <v>2</v>
      </c>
      <c r="O186" s="6" t="s">
        <v>356</v>
      </c>
      <c r="P186" s="6">
        <v>5</v>
      </c>
      <c r="Q186" s="6">
        <v>4312201</v>
      </c>
      <c r="U186" s="6">
        <v>0</v>
      </c>
      <c r="V186" s="6">
        <v>10000</v>
      </c>
      <c r="W186" s="6">
        <f t="shared" si="14"/>
        <v>770</v>
      </c>
      <c r="X186" s="6">
        <v>870</v>
      </c>
      <c r="Y186" s="6">
        <v>1000</v>
      </c>
      <c r="Z186" s="6">
        <f t="shared" si="13"/>
        <v>1050</v>
      </c>
      <c r="AA186" s="6">
        <v>-1</v>
      </c>
      <c r="AB186" s="6" t="s">
        <v>186</v>
      </c>
      <c r="AC186" s="6">
        <v>1</v>
      </c>
      <c r="AD186" s="3">
        <v>0</v>
      </c>
      <c r="AF186" s="41"/>
      <c r="AH186" s="6">
        <v>0</v>
      </c>
      <c r="AI186" s="6">
        <v>0</v>
      </c>
      <c r="AJ186" s="6">
        <v>0</v>
      </c>
      <c r="AK186" s="6">
        <v>0</v>
      </c>
    </row>
    <row r="187" s="6" customFormat="1" spans="1:37">
      <c r="A187" s="6">
        <v>4312203</v>
      </c>
      <c r="B187" s="6">
        <v>4312201</v>
      </c>
      <c r="C187" s="6" t="s">
        <v>454</v>
      </c>
      <c r="D187" s="6" t="s">
        <v>455</v>
      </c>
      <c r="E187" s="6">
        <v>4312201</v>
      </c>
      <c r="F187" s="6">
        <v>2</v>
      </c>
      <c r="G187" s="6">
        <v>3</v>
      </c>
      <c r="H187" s="6" t="s">
        <v>459</v>
      </c>
      <c r="I187" s="6">
        <v>7</v>
      </c>
      <c r="J187" s="6" t="s">
        <v>457</v>
      </c>
      <c r="K187" s="6">
        <v>3</v>
      </c>
      <c r="L187" s="6">
        <v>350</v>
      </c>
      <c r="M187" s="6">
        <v>2</v>
      </c>
      <c r="N187" s="6">
        <v>2</v>
      </c>
      <c r="O187" s="6" t="s">
        <v>356</v>
      </c>
      <c r="P187" s="6">
        <v>5</v>
      </c>
      <c r="Q187" s="6">
        <v>4312201</v>
      </c>
      <c r="U187" s="6">
        <v>0</v>
      </c>
      <c r="V187" s="6">
        <v>10000</v>
      </c>
      <c r="W187" s="6">
        <f t="shared" si="14"/>
        <v>770</v>
      </c>
      <c r="X187" s="6">
        <v>870</v>
      </c>
      <c r="Y187" s="6">
        <v>1000</v>
      </c>
      <c r="Z187" s="6">
        <f t="shared" si="13"/>
        <v>1050</v>
      </c>
      <c r="AA187" s="6">
        <v>-1</v>
      </c>
      <c r="AB187" s="6" t="s">
        <v>186</v>
      </c>
      <c r="AC187" s="6">
        <v>1</v>
      </c>
      <c r="AD187" s="3">
        <v>0</v>
      </c>
      <c r="AF187" s="41"/>
      <c r="AH187" s="6">
        <v>0</v>
      </c>
      <c r="AI187" s="6">
        <v>0</v>
      </c>
      <c r="AJ187" s="6">
        <v>0</v>
      </c>
      <c r="AK187" s="6">
        <v>0</v>
      </c>
    </row>
    <row r="188" s="6" customFormat="1" spans="1:37">
      <c r="A188" s="6">
        <v>4312301</v>
      </c>
      <c r="B188" s="6">
        <v>4312301</v>
      </c>
      <c r="C188" s="6" t="s">
        <v>460</v>
      </c>
      <c r="D188" s="6" t="s">
        <v>461</v>
      </c>
      <c r="E188" s="6">
        <v>4312301</v>
      </c>
      <c r="F188" s="6">
        <v>2</v>
      </c>
      <c r="G188" s="6">
        <v>1</v>
      </c>
      <c r="H188" s="6" t="s">
        <v>462</v>
      </c>
      <c r="I188" s="6">
        <v>7</v>
      </c>
      <c r="J188" s="6" t="s">
        <v>463</v>
      </c>
      <c r="K188" s="6">
        <v>3</v>
      </c>
      <c r="L188" s="6">
        <v>350</v>
      </c>
      <c r="M188" s="6">
        <v>3</v>
      </c>
      <c r="N188" s="6">
        <v>2</v>
      </c>
      <c r="O188" s="6" t="s">
        <v>132</v>
      </c>
      <c r="P188" s="6">
        <v>10</v>
      </c>
      <c r="Q188" s="6">
        <v>4312301</v>
      </c>
      <c r="U188" s="6">
        <v>0</v>
      </c>
      <c r="V188" s="6">
        <v>20000</v>
      </c>
      <c r="W188" s="6">
        <f t="shared" si="14"/>
        <v>980</v>
      </c>
      <c r="X188" s="6">
        <v>1080</v>
      </c>
      <c r="Y188" s="6">
        <v>1250</v>
      </c>
      <c r="Z188" s="6">
        <f t="shared" si="13"/>
        <v>1300</v>
      </c>
      <c r="AA188" s="6">
        <v>16000</v>
      </c>
      <c r="AC188" s="6">
        <v>1</v>
      </c>
      <c r="AD188" s="3">
        <v>0</v>
      </c>
      <c r="AF188" s="41"/>
      <c r="AH188" s="6">
        <v>0</v>
      </c>
      <c r="AI188" s="6">
        <v>0</v>
      </c>
      <c r="AJ188" s="6">
        <v>0</v>
      </c>
      <c r="AK188" s="6">
        <v>0</v>
      </c>
    </row>
    <row r="189" s="6" customFormat="1" spans="1:37">
      <c r="A189" s="6">
        <v>4312302</v>
      </c>
      <c r="B189" s="6">
        <v>4312301</v>
      </c>
      <c r="C189" s="6" t="s">
        <v>460</v>
      </c>
      <c r="D189" s="6" t="s">
        <v>461</v>
      </c>
      <c r="E189" s="6">
        <v>4312301</v>
      </c>
      <c r="F189" s="6">
        <v>2</v>
      </c>
      <c r="G189" s="6">
        <v>2</v>
      </c>
      <c r="H189" s="6" t="s">
        <v>125</v>
      </c>
      <c r="I189" s="6">
        <v>7</v>
      </c>
      <c r="J189" s="6" t="s">
        <v>463</v>
      </c>
      <c r="K189" s="6">
        <v>3</v>
      </c>
      <c r="L189" s="6">
        <v>350</v>
      </c>
      <c r="M189" s="6">
        <v>3</v>
      </c>
      <c r="N189" s="6">
        <v>2</v>
      </c>
      <c r="O189" s="6" t="s">
        <v>132</v>
      </c>
      <c r="P189" s="6">
        <v>10</v>
      </c>
      <c r="Q189" s="6">
        <v>4312301</v>
      </c>
      <c r="U189" s="6">
        <v>0</v>
      </c>
      <c r="V189" s="6">
        <v>20000</v>
      </c>
      <c r="W189" s="6">
        <f t="shared" si="14"/>
        <v>980</v>
      </c>
      <c r="X189" s="6">
        <v>1080</v>
      </c>
      <c r="Y189" s="6">
        <v>1250</v>
      </c>
      <c r="Z189" s="6">
        <f t="shared" si="13"/>
        <v>1300</v>
      </c>
      <c r="AA189" s="6">
        <v>12000</v>
      </c>
      <c r="AC189" s="6">
        <v>1</v>
      </c>
      <c r="AD189" s="3">
        <v>0</v>
      </c>
      <c r="AF189" s="41"/>
      <c r="AH189" s="6">
        <v>0</v>
      </c>
      <c r="AI189" s="6">
        <v>0</v>
      </c>
      <c r="AJ189" s="6">
        <v>0</v>
      </c>
      <c r="AK189" s="6">
        <v>0</v>
      </c>
    </row>
    <row r="190" s="6" customFormat="1" spans="1:37">
      <c r="A190" s="6">
        <v>4312303</v>
      </c>
      <c r="B190" s="6">
        <v>4312301</v>
      </c>
      <c r="C190" s="6" t="s">
        <v>460</v>
      </c>
      <c r="D190" s="6" t="s">
        <v>461</v>
      </c>
      <c r="E190" s="6">
        <v>4312301</v>
      </c>
      <c r="F190" s="6">
        <v>2</v>
      </c>
      <c r="G190" s="6">
        <v>3</v>
      </c>
      <c r="H190" s="6" t="s">
        <v>125</v>
      </c>
      <c r="I190" s="6">
        <v>7</v>
      </c>
      <c r="J190" s="6" t="s">
        <v>463</v>
      </c>
      <c r="K190" s="6">
        <v>3</v>
      </c>
      <c r="L190" s="6">
        <v>350</v>
      </c>
      <c r="M190" s="6">
        <v>3</v>
      </c>
      <c r="N190" s="6">
        <v>2</v>
      </c>
      <c r="O190" s="6" t="s">
        <v>132</v>
      </c>
      <c r="P190" s="6">
        <v>10</v>
      </c>
      <c r="Q190" s="6">
        <v>4312301</v>
      </c>
      <c r="U190" s="6">
        <v>0</v>
      </c>
      <c r="V190" s="6">
        <v>20000</v>
      </c>
      <c r="W190" s="6">
        <f t="shared" si="14"/>
        <v>980</v>
      </c>
      <c r="X190" s="6">
        <v>1080</v>
      </c>
      <c r="Y190" s="6">
        <v>1250</v>
      </c>
      <c r="Z190" s="6">
        <f t="shared" si="13"/>
        <v>1300</v>
      </c>
      <c r="AA190" s="6">
        <v>8000</v>
      </c>
      <c r="AC190" s="6">
        <v>1</v>
      </c>
      <c r="AD190" s="3">
        <v>0</v>
      </c>
      <c r="AF190" s="41"/>
      <c r="AH190" s="6">
        <v>0</v>
      </c>
      <c r="AI190" s="6">
        <v>0</v>
      </c>
      <c r="AJ190" s="6">
        <v>0</v>
      </c>
      <c r="AK190" s="6">
        <v>0</v>
      </c>
    </row>
    <row r="191" s="14" customFormat="1" spans="1:37">
      <c r="A191" s="14">
        <v>4313101</v>
      </c>
      <c r="B191" s="14">
        <v>4313101</v>
      </c>
      <c r="C191" s="14" t="s">
        <v>87</v>
      </c>
      <c r="D191" s="14" t="s">
        <v>464</v>
      </c>
      <c r="F191" s="14">
        <v>1</v>
      </c>
      <c r="G191" s="14">
        <v>1</v>
      </c>
      <c r="I191" s="14">
        <v>1</v>
      </c>
      <c r="K191" s="14">
        <v>3</v>
      </c>
      <c r="L191" s="14">
        <v>350</v>
      </c>
      <c r="M191" s="14">
        <v>1</v>
      </c>
      <c r="N191" s="14">
        <v>1</v>
      </c>
      <c r="O191" s="14">
        <v>0</v>
      </c>
      <c r="P191" s="14">
        <v>1</v>
      </c>
      <c r="Q191" s="14">
        <v>4313101</v>
      </c>
      <c r="U191" s="14">
        <v>0</v>
      </c>
      <c r="V191" s="14">
        <v>10000</v>
      </c>
      <c r="W191" s="14">
        <v>320</v>
      </c>
      <c r="X191" s="14">
        <v>330</v>
      </c>
      <c r="Y191" s="14">
        <v>400</v>
      </c>
      <c r="Z191" s="10">
        <f t="shared" si="13"/>
        <v>450</v>
      </c>
      <c r="AA191" s="14">
        <v>450</v>
      </c>
      <c r="AC191" s="14">
        <v>1</v>
      </c>
      <c r="AD191" s="3">
        <v>0</v>
      </c>
      <c r="AF191" s="56"/>
      <c r="AH191" s="6">
        <v>0</v>
      </c>
      <c r="AI191" s="6">
        <v>0</v>
      </c>
      <c r="AJ191" s="14">
        <v>0</v>
      </c>
      <c r="AK191" s="14">
        <v>0</v>
      </c>
    </row>
    <row r="192" s="14" customFormat="1" spans="1:37">
      <c r="A192" s="14">
        <v>4313201</v>
      </c>
      <c r="B192" s="14">
        <v>4313201</v>
      </c>
      <c r="C192" s="14" t="s">
        <v>465</v>
      </c>
      <c r="D192" s="14" t="s">
        <v>466</v>
      </c>
      <c r="E192" s="14">
        <v>4313201</v>
      </c>
      <c r="F192" s="14">
        <v>2</v>
      </c>
      <c r="G192" s="14">
        <v>1</v>
      </c>
      <c r="H192" s="14" t="s">
        <v>467</v>
      </c>
      <c r="I192" s="14">
        <v>2</v>
      </c>
      <c r="K192" s="14">
        <v>3</v>
      </c>
      <c r="L192" s="14">
        <v>350</v>
      </c>
      <c r="M192" s="14">
        <v>2</v>
      </c>
      <c r="N192" s="14">
        <v>2</v>
      </c>
      <c r="O192" s="14" t="s">
        <v>306</v>
      </c>
      <c r="P192" s="14">
        <v>5</v>
      </c>
      <c r="Q192" s="14">
        <v>4313201</v>
      </c>
      <c r="U192" s="14">
        <v>0</v>
      </c>
      <c r="V192" s="14">
        <v>10000</v>
      </c>
      <c r="W192" s="14">
        <v>0</v>
      </c>
      <c r="X192" s="14">
        <v>530</v>
      </c>
      <c r="Y192" s="14">
        <v>600</v>
      </c>
      <c r="Z192" s="10">
        <f t="shared" ref="Z192:Z223" si="15">Y192+50</f>
        <v>650</v>
      </c>
      <c r="AA192" s="14">
        <v>-1</v>
      </c>
      <c r="AB192" s="14" t="s">
        <v>186</v>
      </c>
      <c r="AC192" s="14">
        <v>1</v>
      </c>
      <c r="AD192" s="3">
        <v>0</v>
      </c>
      <c r="AF192" s="56"/>
      <c r="AH192" s="6">
        <v>0</v>
      </c>
      <c r="AI192" s="6">
        <v>0</v>
      </c>
      <c r="AJ192" s="14">
        <v>0</v>
      </c>
      <c r="AK192" s="14">
        <v>0</v>
      </c>
    </row>
    <row r="193" s="14" customFormat="1" spans="1:37">
      <c r="A193" s="14">
        <v>4313202</v>
      </c>
      <c r="B193" s="14">
        <v>4313201</v>
      </c>
      <c r="C193" s="14" t="s">
        <v>465</v>
      </c>
      <c r="D193" s="14" t="s">
        <v>466</v>
      </c>
      <c r="E193" s="14">
        <v>4313201</v>
      </c>
      <c r="F193" s="14">
        <v>2</v>
      </c>
      <c r="G193" s="14">
        <v>2</v>
      </c>
      <c r="H193" s="14" t="s">
        <v>468</v>
      </c>
      <c r="I193" s="14">
        <v>2</v>
      </c>
      <c r="K193" s="14">
        <v>3</v>
      </c>
      <c r="L193" s="14">
        <v>350</v>
      </c>
      <c r="M193" s="14">
        <v>2</v>
      </c>
      <c r="N193" s="14">
        <v>2</v>
      </c>
      <c r="O193" s="14" t="s">
        <v>306</v>
      </c>
      <c r="P193" s="14">
        <v>5</v>
      </c>
      <c r="Q193" s="14">
        <v>4313201</v>
      </c>
      <c r="U193" s="14">
        <v>0</v>
      </c>
      <c r="V193" s="14">
        <v>10000</v>
      </c>
      <c r="W193" s="14">
        <v>0</v>
      </c>
      <c r="X193" s="14">
        <v>530</v>
      </c>
      <c r="Y193" s="14">
        <v>600</v>
      </c>
      <c r="Z193" s="10">
        <f t="shared" si="15"/>
        <v>650</v>
      </c>
      <c r="AA193" s="14">
        <v>-1</v>
      </c>
      <c r="AB193" s="14" t="s">
        <v>186</v>
      </c>
      <c r="AC193" s="14">
        <v>1</v>
      </c>
      <c r="AD193" s="3">
        <v>0</v>
      </c>
      <c r="AF193" s="56"/>
      <c r="AH193" s="6">
        <v>0</v>
      </c>
      <c r="AI193" s="6">
        <v>0</v>
      </c>
      <c r="AJ193" s="14">
        <v>0</v>
      </c>
      <c r="AK193" s="14">
        <v>0</v>
      </c>
    </row>
    <row r="194" s="14" customFormat="1" spans="1:37">
      <c r="A194" s="14">
        <v>4313203</v>
      </c>
      <c r="B194" s="14">
        <v>4313201</v>
      </c>
      <c r="C194" s="14" t="s">
        <v>465</v>
      </c>
      <c r="D194" s="14" t="s">
        <v>466</v>
      </c>
      <c r="E194" s="14">
        <v>4313201</v>
      </c>
      <c r="F194" s="14">
        <v>2</v>
      </c>
      <c r="G194" s="14">
        <v>3</v>
      </c>
      <c r="H194" s="14" t="s">
        <v>138</v>
      </c>
      <c r="I194" s="14">
        <v>2</v>
      </c>
      <c r="K194" s="14">
        <v>3</v>
      </c>
      <c r="L194" s="14">
        <v>350</v>
      </c>
      <c r="M194" s="14">
        <v>2</v>
      </c>
      <c r="N194" s="14">
        <v>2</v>
      </c>
      <c r="O194" s="14" t="s">
        <v>306</v>
      </c>
      <c r="P194" s="14">
        <v>5</v>
      </c>
      <c r="Q194" s="14">
        <v>4313201</v>
      </c>
      <c r="U194" s="14">
        <v>0</v>
      </c>
      <c r="V194" s="14">
        <v>15000</v>
      </c>
      <c r="W194" s="14">
        <v>0</v>
      </c>
      <c r="X194" s="14">
        <v>530</v>
      </c>
      <c r="Y194" s="14">
        <v>600</v>
      </c>
      <c r="Z194" s="10">
        <f t="shared" si="15"/>
        <v>650</v>
      </c>
      <c r="AA194" s="14">
        <v>-1</v>
      </c>
      <c r="AB194" s="14" t="s">
        <v>186</v>
      </c>
      <c r="AC194" s="14">
        <v>1</v>
      </c>
      <c r="AD194" s="3">
        <v>0</v>
      </c>
      <c r="AF194" s="56"/>
      <c r="AH194" s="6">
        <v>0</v>
      </c>
      <c r="AI194" s="6">
        <v>0</v>
      </c>
      <c r="AJ194" s="14">
        <v>0</v>
      </c>
      <c r="AK194" s="14">
        <v>0</v>
      </c>
    </row>
    <row r="195" s="14" customFormat="1" spans="1:37">
      <c r="A195" s="14">
        <v>4313301</v>
      </c>
      <c r="B195" s="14">
        <v>4313301</v>
      </c>
      <c r="C195" s="14" t="s">
        <v>469</v>
      </c>
      <c r="D195" s="14" t="s">
        <v>470</v>
      </c>
      <c r="E195" s="14">
        <v>4313301</v>
      </c>
      <c r="F195" s="14">
        <v>2</v>
      </c>
      <c r="G195" s="14">
        <v>1</v>
      </c>
      <c r="H195" s="14" t="s">
        <v>471</v>
      </c>
      <c r="I195" s="14">
        <v>2</v>
      </c>
      <c r="K195" s="14">
        <v>3</v>
      </c>
      <c r="L195" s="14">
        <v>350</v>
      </c>
      <c r="M195" s="14">
        <v>3</v>
      </c>
      <c r="N195" s="14">
        <v>2</v>
      </c>
      <c r="O195" s="14" t="s">
        <v>177</v>
      </c>
      <c r="P195" s="14">
        <v>5</v>
      </c>
      <c r="Q195" s="14">
        <v>4313301</v>
      </c>
      <c r="U195" s="14">
        <v>0</v>
      </c>
      <c r="V195" s="14">
        <v>10000</v>
      </c>
      <c r="W195" s="14">
        <v>0</v>
      </c>
      <c r="X195" s="14">
        <v>470</v>
      </c>
      <c r="Y195" s="14">
        <v>670</v>
      </c>
      <c r="Z195" s="10">
        <f t="shared" si="15"/>
        <v>720</v>
      </c>
      <c r="AA195" s="14">
        <v>14330</v>
      </c>
      <c r="AC195" s="14">
        <v>1</v>
      </c>
      <c r="AD195" s="3">
        <v>0</v>
      </c>
      <c r="AF195" s="56"/>
      <c r="AH195" s="6">
        <v>0</v>
      </c>
      <c r="AI195" s="6">
        <v>0</v>
      </c>
      <c r="AJ195" s="14">
        <v>0</v>
      </c>
      <c r="AK195" s="14">
        <v>0</v>
      </c>
    </row>
    <row r="196" s="14" customFormat="1" spans="1:37">
      <c r="A196" s="14">
        <v>4313302</v>
      </c>
      <c r="B196" s="14">
        <v>4313301</v>
      </c>
      <c r="C196" s="14" t="s">
        <v>469</v>
      </c>
      <c r="D196" s="14" t="s">
        <v>470</v>
      </c>
      <c r="E196" s="14">
        <v>4313301</v>
      </c>
      <c r="F196" s="14">
        <v>2</v>
      </c>
      <c r="G196" s="14">
        <v>2</v>
      </c>
      <c r="H196" s="14" t="s">
        <v>472</v>
      </c>
      <c r="I196" s="14">
        <v>2</v>
      </c>
      <c r="K196" s="14">
        <v>3</v>
      </c>
      <c r="L196" s="14">
        <v>350</v>
      </c>
      <c r="M196" s="14">
        <v>3</v>
      </c>
      <c r="N196" s="14">
        <v>2</v>
      </c>
      <c r="O196" s="14" t="s">
        <v>177</v>
      </c>
      <c r="P196" s="14">
        <v>8</v>
      </c>
      <c r="Q196" s="14">
        <v>4313301</v>
      </c>
      <c r="U196" s="14">
        <v>0</v>
      </c>
      <c r="V196" s="14">
        <v>10000</v>
      </c>
      <c r="W196" s="14">
        <v>0</v>
      </c>
      <c r="X196" s="14">
        <v>470</v>
      </c>
      <c r="Y196" s="14">
        <v>670</v>
      </c>
      <c r="Z196" s="10">
        <f t="shared" si="15"/>
        <v>720</v>
      </c>
      <c r="AA196" s="14">
        <v>14330</v>
      </c>
      <c r="AC196" s="14">
        <v>1</v>
      </c>
      <c r="AD196" s="3">
        <v>0</v>
      </c>
      <c r="AF196" s="56"/>
      <c r="AH196" s="6">
        <v>0</v>
      </c>
      <c r="AI196" s="6">
        <v>0</v>
      </c>
      <c r="AJ196" s="14">
        <v>0</v>
      </c>
      <c r="AK196" s="14">
        <v>0</v>
      </c>
    </row>
    <row r="197" s="14" customFormat="1" spans="1:37">
      <c r="A197" s="14">
        <v>4313303</v>
      </c>
      <c r="B197" s="14">
        <v>4313301</v>
      </c>
      <c r="C197" s="14" t="s">
        <v>469</v>
      </c>
      <c r="D197" s="14" t="s">
        <v>470</v>
      </c>
      <c r="E197" s="14">
        <v>4313301</v>
      </c>
      <c r="F197" s="14">
        <v>2</v>
      </c>
      <c r="G197" s="14">
        <v>3</v>
      </c>
      <c r="H197" s="14" t="s">
        <v>138</v>
      </c>
      <c r="I197" s="14">
        <v>2</v>
      </c>
      <c r="K197" s="14">
        <v>3</v>
      </c>
      <c r="L197" s="14">
        <v>350</v>
      </c>
      <c r="M197" s="14">
        <v>3</v>
      </c>
      <c r="N197" s="14">
        <v>2</v>
      </c>
      <c r="O197" s="14" t="s">
        <v>177</v>
      </c>
      <c r="P197" s="14">
        <v>8</v>
      </c>
      <c r="Q197" s="14">
        <v>4313301</v>
      </c>
      <c r="U197" s="14">
        <v>0</v>
      </c>
      <c r="V197" s="14">
        <v>15000</v>
      </c>
      <c r="W197" s="14">
        <v>0</v>
      </c>
      <c r="X197" s="14">
        <v>470</v>
      </c>
      <c r="Y197" s="14">
        <v>670</v>
      </c>
      <c r="Z197" s="10">
        <f t="shared" si="15"/>
        <v>720</v>
      </c>
      <c r="AA197" s="14">
        <v>14330</v>
      </c>
      <c r="AC197" s="14">
        <v>1</v>
      </c>
      <c r="AD197" s="3">
        <v>0</v>
      </c>
      <c r="AF197" s="56"/>
      <c r="AH197" s="6">
        <v>0</v>
      </c>
      <c r="AI197" s="6">
        <v>0</v>
      </c>
      <c r="AJ197" s="14">
        <v>0</v>
      </c>
      <c r="AK197" s="14">
        <v>0</v>
      </c>
    </row>
    <row r="198" s="6" customFormat="1" spans="1:37">
      <c r="A198" s="6">
        <v>4314101</v>
      </c>
      <c r="B198" s="6">
        <v>4314101</v>
      </c>
      <c r="C198" s="6" t="s">
        <v>87</v>
      </c>
      <c r="D198" s="6" t="s">
        <v>473</v>
      </c>
      <c r="F198" s="6">
        <v>1</v>
      </c>
      <c r="G198" s="6">
        <v>1</v>
      </c>
      <c r="I198" s="6">
        <v>7</v>
      </c>
      <c r="J198" s="6" t="s">
        <v>474</v>
      </c>
      <c r="K198" s="6">
        <v>3</v>
      </c>
      <c r="L198" s="6">
        <v>350</v>
      </c>
      <c r="M198" s="6">
        <v>1</v>
      </c>
      <c r="N198" s="6">
        <v>1</v>
      </c>
      <c r="O198" s="6">
        <v>0</v>
      </c>
      <c r="P198" s="6">
        <v>1</v>
      </c>
      <c r="Q198" s="6">
        <v>4314101</v>
      </c>
      <c r="U198" s="6">
        <v>0</v>
      </c>
      <c r="V198" s="6">
        <v>10000</v>
      </c>
      <c r="W198" s="6">
        <v>390</v>
      </c>
      <c r="X198" s="6">
        <v>400</v>
      </c>
      <c r="Y198" s="6">
        <v>930</v>
      </c>
      <c r="Z198" s="6">
        <f t="shared" si="15"/>
        <v>980</v>
      </c>
      <c r="AA198" s="6">
        <v>450</v>
      </c>
      <c r="AC198" s="6">
        <v>1</v>
      </c>
      <c r="AD198" s="3">
        <v>0</v>
      </c>
      <c r="AF198" s="41"/>
      <c r="AH198" s="6">
        <v>0</v>
      </c>
      <c r="AI198" s="6">
        <v>0</v>
      </c>
      <c r="AJ198" s="6">
        <v>0</v>
      </c>
      <c r="AK198" s="6">
        <v>0</v>
      </c>
    </row>
    <row r="199" s="6" customFormat="1" spans="1:37">
      <c r="A199" s="6">
        <v>4314201</v>
      </c>
      <c r="B199" s="6">
        <v>4314201</v>
      </c>
      <c r="C199" s="6" t="s">
        <v>475</v>
      </c>
      <c r="D199" s="6" t="s">
        <v>476</v>
      </c>
      <c r="E199" s="6">
        <v>4314201</v>
      </c>
      <c r="F199" s="6">
        <v>2</v>
      </c>
      <c r="G199" s="6">
        <v>1</v>
      </c>
      <c r="H199" s="6" t="s">
        <v>477</v>
      </c>
      <c r="I199" s="6">
        <v>7</v>
      </c>
      <c r="J199" s="6" t="s">
        <v>478</v>
      </c>
      <c r="K199" s="6">
        <v>3</v>
      </c>
      <c r="L199" s="6">
        <v>0</v>
      </c>
      <c r="M199" s="6">
        <v>2</v>
      </c>
      <c r="N199" s="6">
        <v>1</v>
      </c>
      <c r="O199" s="6">
        <v>0</v>
      </c>
      <c r="P199" s="6">
        <v>0</v>
      </c>
      <c r="Q199" s="6">
        <v>4314201</v>
      </c>
      <c r="U199" s="6">
        <v>0</v>
      </c>
      <c r="V199" s="6">
        <v>10000</v>
      </c>
      <c r="W199" s="6">
        <v>0</v>
      </c>
      <c r="X199" s="5" t="s">
        <v>479</v>
      </c>
      <c r="Y199" s="6">
        <v>2000</v>
      </c>
      <c r="Z199" s="6">
        <f t="shared" si="15"/>
        <v>2050</v>
      </c>
      <c r="AA199" s="6">
        <v>-1</v>
      </c>
      <c r="AB199" s="6" t="s">
        <v>423</v>
      </c>
      <c r="AC199" s="6">
        <v>1</v>
      </c>
      <c r="AD199" s="3">
        <v>0</v>
      </c>
      <c r="AF199" s="41"/>
      <c r="AH199" s="6">
        <v>0</v>
      </c>
      <c r="AI199" s="6">
        <v>0</v>
      </c>
      <c r="AJ199" s="6">
        <v>0</v>
      </c>
      <c r="AK199" s="6">
        <v>0</v>
      </c>
    </row>
    <row r="200" s="6" customFormat="1" spans="1:37">
      <c r="A200" s="6">
        <v>4314202</v>
      </c>
      <c r="B200" s="6">
        <v>4314201</v>
      </c>
      <c r="C200" s="6" t="s">
        <v>475</v>
      </c>
      <c r="D200" s="6" t="s">
        <v>476</v>
      </c>
      <c r="E200" s="6">
        <v>4314201</v>
      </c>
      <c r="F200" s="6">
        <v>2</v>
      </c>
      <c r="G200" s="6">
        <v>2</v>
      </c>
      <c r="H200" s="6" t="s">
        <v>480</v>
      </c>
      <c r="I200" s="6">
        <v>7</v>
      </c>
      <c r="J200" s="6" t="s">
        <v>478</v>
      </c>
      <c r="K200" s="6">
        <v>3</v>
      </c>
      <c r="L200" s="6">
        <v>0</v>
      </c>
      <c r="M200" s="6">
        <v>2</v>
      </c>
      <c r="N200" s="6">
        <v>1</v>
      </c>
      <c r="O200" s="6">
        <v>0</v>
      </c>
      <c r="P200" s="6">
        <v>0</v>
      </c>
      <c r="Q200" s="6">
        <v>4314201</v>
      </c>
      <c r="U200" s="6">
        <v>0</v>
      </c>
      <c r="V200" s="6">
        <v>10000</v>
      </c>
      <c r="W200" s="6">
        <v>0</v>
      </c>
      <c r="X200" s="5" t="s">
        <v>481</v>
      </c>
      <c r="Y200" s="6">
        <v>2000</v>
      </c>
      <c r="Z200" s="6">
        <f t="shared" si="15"/>
        <v>2050</v>
      </c>
      <c r="AA200" s="6">
        <v>-1</v>
      </c>
      <c r="AB200" s="6" t="s">
        <v>423</v>
      </c>
      <c r="AC200" s="6">
        <v>1</v>
      </c>
      <c r="AD200" s="3">
        <v>0</v>
      </c>
      <c r="AF200" s="41"/>
      <c r="AH200" s="6">
        <v>0</v>
      </c>
      <c r="AI200" s="6">
        <v>0</v>
      </c>
      <c r="AJ200" s="6">
        <v>0</v>
      </c>
      <c r="AK200" s="6">
        <v>0</v>
      </c>
    </row>
    <row r="201" s="6" customFormat="1" spans="1:37">
      <c r="A201" s="6">
        <v>4314203</v>
      </c>
      <c r="B201" s="6">
        <v>4314201</v>
      </c>
      <c r="C201" s="6" t="s">
        <v>475</v>
      </c>
      <c r="D201" s="6" t="s">
        <v>476</v>
      </c>
      <c r="E201" s="6">
        <v>4314201</v>
      </c>
      <c r="F201" s="6">
        <v>2</v>
      </c>
      <c r="G201" s="6">
        <v>3</v>
      </c>
      <c r="H201" s="6" t="s">
        <v>480</v>
      </c>
      <c r="I201" s="6">
        <v>7</v>
      </c>
      <c r="J201" s="6" t="s">
        <v>478</v>
      </c>
      <c r="K201" s="6">
        <v>3</v>
      </c>
      <c r="L201" s="6">
        <v>0</v>
      </c>
      <c r="M201" s="6">
        <v>2</v>
      </c>
      <c r="N201" s="6">
        <v>1</v>
      </c>
      <c r="O201" s="6">
        <v>0</v>
      </c>
      <c r="P201" s="6">
        <v>0</v>
      </c>
      <c r="Q201" s="6">
        <v>4314201</v>
      </c>
      <c r="U201" s="6">
        <v>0</v>
      </c>
      <c r="V201" s="6">
        <v>10000</v>
      </c>
      <c r="W201" s="6">
        <v>0</v>
      </c>
      <c r="X201" s="5" t="s">
        <v>482</v>
      </c>
      <c r="Y201" s="6">
        <v>2000</v>
      </c>
      <c r="Z201" s="6">
        <f t="shared" si="15"/>
        <v>2050</v>
      </c>
      <c r="AA201" s="6">
        <v>-1</v>
      </c>
      <c r="AB201" s="6" t="s">
        <v>423</v>
      </c>
      <c r="AC201" s="6">
        <v>1</v>
      </c>
      <c r="AD201" s="3">
        <v>0</v>
      </c>
      <c r="AF201" s="41"/>
      <c r="AH201" s="6">
        <v>0</v>
      </c>
      <c r="AI201" s="6">
        <v>0</v>
      </c>
      <c r="AJ201" s="6">
        <v>0</v>
      </c>
      <c r="AK201" s="6">
        <v>0</v>
      </c>
    </row>
    <row r="202" s="6" customFormat="1" spans="1:37">
      <c r="A202" s="6">
        <v>4314301</v>
      </c>
      <c r="B202" s="6">
        <v>4314301</v>
      </c>
      <c r="C202" s="6" t="s">
        <v>483</v>
      </c>
      <c r="D202" s="6" t="s">
        <v>484</v>
      </c>
      <c r="E202" s="6">
        <v>4314301</v>
      </c>
      <c r="F202" s="6">
        <v>2</v>
      </c>
      <c r="G202" s="6">
        <v>1</v>
      </c>
      <c r="H202" s="6" t="s">
        <v>485</v>
      </c>
      <c r="I202" s="6">
        <v>7</v>
      </c>
      <c r="J202" s="6" t="s">
        <v>486</v>
      </c>
      <c r="K202" s="6">
        <v>3</v>
      </c>
      <c r="L202" s="6">
        <v>350</v>
      </c>
      <c r="M202" s="6">
        <v>3</v>
      </c>
      <c r="N202" s="6">
        <v>1</v>
      </c>
      <c r="O202" s="6">
        <v>0</v>
      </c>
      <c r="P202" s="6">
        <v>1</v>
      </c>
      <c r="Q202" s="6">
        <v>4314301</v>
      </c>
      <c r="U202" s="6">
        <v>0</v>
      </c>
      <c r="V202" s="6">
        <v>60000</v>
      </c>
      <c r="W202" s="6">
        <v>0</v>
      </c>
      <c r="X202" s="6">
        <v>600</v>
      </c>
      <c r="Y202" s="6">
        <v>930</v>
      </c>
      <c r="Z202" s="6">
        <f t="shared" si="15"/>
        <v>980</v>
      </c>
      <c r="AA202" s="6">
        <v>11070</v>
      </c>
      <c r="AC202" s="6">
        <v>1</v>
      </c>
      <c r="AD202" s="3">
        <v>0</v>
      </c>
      <c r="AF202" s="41"/>
      <c r="AH202" s="6">
        <v>0</v>
      </c>
      <c r="AI202" s="6">
        <v>0</v>
      </c>
      <c r="AJ202" s="6">
        <v>0</v>
      </c>
      <c r="AK202" s="6">
        <v>0</v>
      </c>
    </row>
    <row r="203" s="6" customFormat="1" spans="1:37">
      <c r="A203" s="6">
        <v>4314302</v>
      </c>
      <c r="B203" s="6">
        <v>4314301</v>
      </c>
      <c r="C203" s="6" t="s">
        <v>483</v>
      </c>
      <c r="D203" s="6" t="s">
        <v>484</v>
      </c>
      <c r="E203" s="6">
        <v>4314301</v>
      </c>
      <c r="F203" s="6">
        <v>2</v>
      </c>
      <c r="G203" s="6">
        <v>2</v>
      </c>
      <c r="H203" s="6" t="s">
        <v>138</v>
      </c>
      <c r="I203" s="6">
        <v>7</v>
      </c>
      <c r="J203" s="6" t="s">
        <v>486</v>
      </c>
      <c r="K203" s="6">
        <v>3</v>
      </c>
      <c r="L203" s="6">
        <v>350</v>
      </c>
      <c r="M203" s="6">
        <v>3</v>
      </c>
      <c r="N203" s="6">
        <v>1</v>
      </c>
      <c r="O203" s="6">
        <v>0</v>
      </c>
      <c r="P203" s="6">
        <v>1</v>
      </c>
      <c r="Q203" s="6">
        <v>4314301</v>
      </c>
      <c r="U203" s="6">
        <v>0</v>
      </c>
      <c r="V203" s="6">
        <v>90000</v>
      </c>
      <c r="W203" s="6">
        <v>0</v>
      </c>
      <c r="X203" s="6">
        <v>600</v>
      </c>
      <c r="Y203" s="6">
        <v>930</v>
      </c>
      <c r="Z203" s="6">
        <f t="shared" si="15"/>
        <v>980</v>
      </c>
      <c r="AA203" s="6">
        <v>11070</v>
      </c>
      <c r="AC203" s="6">
        <v>1</v>
      </c>
      <c r="AD203" s="3">
        <v>0</v>
      </c>
      <c r="AF203" s="41"/>
      <c r="AH203" s="6">
        <v>0</v>
      </c>
      <c r="AI203" s="6">
        <v>0</v>
      </c>
      <c r="AJ203" s="6">
        <v>0</v>
      </c>
      <c r="AK203" s="6">
        <v>0</v>
      </c>
    </row>
    <row r="204" s="6" customFormat="1" spans="1:37">
      <c r="A204" s="6">
        <v>4314303</v>
      </c>
      <c r="B204" s="6">
        <v>4314301</v>
      </c>
      <c r="C204" s="6" t="s">
        <v>483</v>
      </c>
      <c r="D204" s="6" t="s">
        <v>484</v>
      </c>
      <c r="E204" s="6">
        <v>4314301</v>
      </c>
      <c r="F204" s="6">
        <v>2</v>
      </c>
      <c r="G204" s="6">
        <v>3</v>
      </c>
      <c r="H204" s="6" t="s">
        <v>358</v>
      </c>
      <c r="I204" s="6">
        <v>7</v>
      </c>
      <c r="J204" s="6" t="s">
        <v>486</v>
      </c>
      <c r="K204" s="6">
        <v>3</v>
      </c>
      <c r="L204" s="6">
        <v>350</v>
      </c>
      <c r="M204" s="6">
        <v>3</v>
      </c>
      <c r="N204" s="6">
        <v>1</v>
      </c>
      <c r="O204" s="6">
        <v>0</v>
      </c>
      <c r="P204" s="6">
        <v>1</v>
      </c>
      <c r="Q204" s="6">
        <v>4314301</v>
      </c>
      <c r="U204" s="6">
        <v>0</v>
      </c>
      <c r="V204" s="6">
        <v>90000</v>
      </c>
      <c r="W204" s="6">
        <v>0</v>
      </c>
      <c r="X204" s="6">
        <v>600</v>
      </c>
      <c r="Y204" s="6">
        <v>930</v>
      </c>
      <c r="Z204" s="6">
        <f t="shared" si="15"/>
        <v>980</v>
      </c>
      <c r="AA204" s="6">
        <v>11070</v>
      </c>
      <c r="AC204" s="6">
        <v>1</v>
      </c>
      <c r="AD204" s="3">
        <v>0</v>
      </c>
      <c r="AF204" s="41"/>
      <c r="AH204" s="6">
        <v>0</v>
      </c>
      <c r="AI204" s="6">
        <v>0</v>
      </c>
      <c r="AJ204" s="6">
        <v>0</v>
      </c>
      <c r="AK204" s="6">
        <v>0</v>
      </c>
    </row>
    <row r="205" s="6" customFormat="1" spans="1:37">
      <c r="A205" s="6">
        <v>4315101</v>
      </c>
      <c r="B205" s="6">
        <v>4315101</v>
      </c>
      <c r="C205" s="6" t="s">
        <v>87</v>
      </c>
      <c r="D205" s="6" t="s">
        <v>487</v>
      </c>
      <c r="F205" s="6">
        <v>1</v>
      </c>
      <c r="G205" s="6">
        <v>1</v>
      </c>
      <c r="I205" s="6">
        <v>7</v>
      </c>
      <c r="J205" s="6" t="s">
        <v>453</v>
      </c>
      <c r="K205" s="6">
        <v>3</v>
      </c>
      <c r="L205" s="6">
        <v>350</v>
      </c>
      <c r="M205" s="6">
        <v>1</v>
      </c>
      <c r="N205" s="6">
        <v>1</v>
      </c>
      <c r="O205" s="6">
        <v>0</v>
      </c>
      <c r="P205" s="6">
        <v>1</v>
      </c>
      <c r="Q205" s="6">
        <v>4315101</v>
      </c>
      <c r="U205" s="6">
        <v>0</v>
      </c>
      <c r="V205" s="6">
        <v>10000</v>
      </c>
      <c r="W205" s="6">
        <v>320</v>
      </c>
      <c r="X205" s="6">
        <v>330</v>
      </c>
      <c r="Y205" s="6">
        <v>400</v>
      </c>
      <c r="Z205" s="6">
        <f t="shared" si="15"/>
        <v>450</v>
      </c>
      <c r="AA205" s="6">
        <v>450</v>
      </c>
      <c r="AC205" s="6">
        <v>1</v>
      </c>
      <c r="AD205" s="3">
        <v>0</v>
      </c>
      <c r="AF205" s="41"/>
      <c r="AH205" s="6">
        <v>0</v>
      </c>
      <c r="AI205" s="6">
        <v>0</v>
      </c>
      <c r="AJ205" s="6">
        <v>0</v>
      </c>
      <c r="AK205" s="6">
        <v>0</v>
      </c>
    </row>
    <row r="206" s="6" customFormat="1" spans="1:37">
      <c r="A206" s="6">
        <v>4315201</v>
      </c>
      <c r="B206" s="6">
        <v>4315201</v>
      </c>
      <c r="C206" s="6" t="s">
        <v>488</v>
      </c>
      <c r="D206" s="6" t="s">
        <v>489</v>
      </c>
      <c r="E206" s="6">
        <v>4315201</v>
      </c>
      <c r="F206" s="6">
        <v>2</v>
      </c>
      <c r="G206" s="6">
        <v>1</v>
      </c>
      <c r="H206" s="6" t="s">
        <v>490</v>
      </c>
      <c r="I206" s="6">
        <v>7</v>
      </c>
      <c r="J206" s="6" t="s">
        <v>453</v>
      </c>
      <c r="K206" s="6">
        <v>3</v>
      </c>
      <c r="L206" s="6">
        <v>0</v>
      </c>
      <c r="M206" s="6">
        <v>2</v>
      </c>
      <c r="N206" s="6">
        <v>1</v>
      </c>
      <c r="O206" s="6">
        <v>0</v>
      </c>
      <c r="P206" s="6">
        <v>0</v>
      </c>
      <c r="Q206" s="6">
        <v>4315201</v>
      </c>
      <c r="U206" s="6">
        <v>0</v>
      </c>
      <c r="V206" s="6">
        <v>10000</v>
      </c>
      <c r="W206" s="6">
        <v>0</v>
      </c>
      <c r="X206" s="6">
        <v>0</v>
      </c>
      <c r="Y206" s="6">
        <v>2000</v>
      </c>
      <c r="Z206" s="6">
        <f t="shared" si="15"/>
        <v>2050</v>
      </c>
      <c r="AA206" s="6">
        <v>-1</v>
      </c>
      <c r="AB206" s="6" t="s">
        <v>423</v>
      </c>
      <c r="AC206" s="6">
        <v>1</v>
      </c>
      <c r="AD206" s="3">
        <v>0</v>
      </c>
      <c r="AF206" s="41"/>
      <c r="AH206" s="6">
        <v>0</v>
      </c>
      <c r="AI206" s="6">
        <v>0</v>
      </c>
      <c r="AJ206" s="6">
        <v>0</v>
      </c>
      <c r="AK206" s="6">
        <v>0</v>
      </c>
    </row>
    <row r="207" s="6" customFormat="1" spans="1:37">
      <c r="A207" s="6">
        <v>4315202</v>
      </c>
      <c r="B207" s="6">
        <v>4315201</v>
      </c>
      <c r="C207" s="6" t="s">
        <v>488</v>
      </c>
      <c r="D207" s="6" t="s">
        <v>489</v>
      </c>
      <c r="E207" s="6">
        <v>4315201</v>
      </c>
      <c r="F207" s="6">
        <v>2</v>
      </c>
      <c r="G207" s="6">
        <v>2</v>
      </c>
      <c r="H207" s="6" t="s">
        <v>491</v>
      </c>
      <c r="I207" s="6">
        <v>7</v>
      </c>
      <c r="J207" s="6" t="s">
        <v>453</v>
      </c>
      <c r="K207" s="6">
        <v>3</v>
      </c>
      <c r="L207" s="6">
        <v>0</v>
      </c>
      <c r="M207" s="6">
        <v>2</v>
      </c>
      <c r="N207" s="6">
        <v>1</v>
      </c>
      <c r="O207" s="6">
        <v>0</v>
      </c>
      <c r="P207" s="6">
        <v>0</v>
      </c>
      <c r="Q207" s="6">
        <v>4315201</v>
      </c>
      <c r="U207" s="6">
        <v>0</v>
      </c>
      <c r="V207" s="6">
        <v>10000</v>
      </c>
      <c r="W207" s="6">
        <v>0</v>
      </c>
      <c r="X207" s="6">
        <v>0</v>
      </c>
      <c r="Y207" s="6">
        <v>2000</v>
      </c>
      <c r="Z207" s="6">
        <f t="shared" si="15"/>
        <v>2050</v>
      </c>
      <c r="AA207" s="6">
        <v>-1</v>
      </c>
      <c r="AB207" s="6" t="s">
        <v>423</v>
      </c>
      <c r="AC207" s="6">
        <v>1</v>
      </c>
      <c r="AD207" s="3">
        <v>0</v>
      </c>
      <c r="AF207" s="41"/>
      <c r="AH207" s="6">
        <v>0</v>
      </c>
      <c r="AI207" s="6">
        <v>0</v>
      </c>
      <c r="AJ207" s="6">
        <v>0</v>
      </c>
      <c r="AK207" s="6">
        <v>0</v>
      </c>
    </row>
    <row r="208" s="6" customFormat="1" spans="1:37">
      <c r="A208" s="6">
        <v>4315203</v>
      </c>
      <c r="B208" s="6">
        <v>4315201</v>
      </c>
      <c r="C208" s="6" t="s">
        <v>488</v>
      </c>
      <c r="D208" s="6" t="s">
        <v>489</v>
      </c>
      <c r="E208" s="6">
        <v>4315201</v>
      </c>
      <c r="F208" s="6">
        <v>2</v>
      </c>
      <c r="G208" s="6">
        <v>3</v>
      </c>
      <c r="H208" s="6" t="s">
        <v>492</v>
      </c>
      <c r="I208" s="6">
        <v>7</v>
      </c>
      <c r="J208" s="6" t="s">
        <v>453</v>
      </c>
      <c r="K208" s="6">
        <v>3</v>
      </c>
      <c r="L208" s="6">
        <v>0</v>
      </c>
      <c r="M208" s="6">
        <v>2</v>
      </c>
      <c r="N208" s="6">
        <v>1</v>
      </c>
      <c r="O208" s="6">
        <v>0</v>
      </c>
      <c r="P208" s="6">
        <v>0</v>
      </c>
      <c r="Q208" s="6">
        <v>4315201</v>
      </c>
      <c r="U208" s="6">
        <v>0</v>
      </c>
      <c r="V208" s="6">
        <v>10000</v>
      </c>
      <c r="W208" s="6">
        <v>0</v>
      </c>
      <c r="X208" s="6">
        <v>0</v>
      </c>
      <c r="Y208" s="6">
        <v>2000</v>
      </c>
      <c r="Z208" s="6">
        <f t="shared" si="15"/>
        <v>2050</v>
      </c>
      <c r="AA208" s="6">
        <v>-1</v>
      </c>
      <c r="AB208" s="6" t="s">
        <v>423</v>
      </c>
      <c r="AC208" s="6">
        <v>1</v>
      </c>
      <c r="AD208" s="3">
        <v>0</v>
      </c>
      <c r="AF208" s="41"/>
      <c r="AH208" s="6">
        <v>0</v>
      </c>
      <c r="AI208" s="6">
        <v>0</v>
      </c>
      <c r="AJ208" s="6">
        <v>0</v>
      </c>
      <c r="AK208" s="6">
        <v>0</v>
      </c>
    </row>
    <row r="209" s="6" customFormat="1" spans="1:37">
      <c r="A209" s="6">
        <v>4315301</v>
      </c>
      <c r="B209" s="6">
        <v>4315301</v>
      </c>
      <c r="C209" s="6" t="s">
        <v>493</v>
      </c>
      <c r="D209" s="6" t="s">
        <v>494</v>
      </c>
      <c r="E209" s="6">
        <v>4315301</v>
      </c>
      <c r="F209" s="6">
        <v>2</v>
      </c>
      <c r="G209" s="6">
        <v>1</v>
      </c>
      <c r="H209" s="6" t="s">
        <v>495</v>
      </c>
      <c r="I209" s="6">
        <v>7</v>
      </c>
      <c r="J209" s="6" t="s">
        <v>496</v>
      </c>
      <c r="K209" s="6">
        <v>3</v>
      </c>
      <c r="L209" s="6">
        <v>350</v>
      </c>
      <c r="M209" s="6">
        <v>3</v>
      </c>
      <c r="N209" s="6">
        <v>1</v>
      </c>
      <c r="O209" s="6" t="s">
        <v>122</v>
      </c>
      <c r="P209" s="6">
        <v>4</v>
      </c>
      <c r="Q209" s="6">
        <v>4315301</v>
      </c>
      <c r="U209" s="6">
        <v>0</v>
      </c>
      <c r="V209" s="6">
        <v>20000</v>
      </c>
      <c r="W209" s="6">
        <v>0</v>
      </c>
      <c r="X209" s="6">
        <v>270</v>
      </c>
      <c r="Y209" s="6">
        <v>730</v>
      </c>
      <c r="Z209" s="6">
        <f t="shared" si="15"/>
        <v>780</v>
      </c>
      <c r="AA209" s="6">
        <v>19270</v>
      </c>
      <c r="AC209" s="6">
        <v>1</v>
      </c>
      <c r="AD209" s="3">
        <v>0</v>
      </c>
      <c r="AF209" s="41"/>
      <c r="AH209" s="6">
        <v>0</v>
      </c>
      <c r="AI209" s="6">
        <v>0</v>
      </c>
      <c r="AJ209" s="6">
        <v>0</v>
      </c>
      <c r="AK209" s="6">
        <v>0</v>
      </c>
    </row>
    <row r="210" s="6" customFormat="1" spans="1:37">
      <c r="A210" s="6">
        <v>4315302</v>
      </c>
      <c r="B210" s="6">
        <v>4315301</v>
      </c>
      <c r="C210" s="6" t="s">
        <v>493</v>
      </c>
      <c r="D210" s="6" t="s">
        <v>494</v>
      </c>
      <c r="E210" s="6">
        <v>4315301</v>
      </c>
      <c r="F210" s="6">
        <v>2</v>
      </c>
      <c r="G210" s="6">
        <v>2</v>
      </c>
      <c r="H210" s="6" t="s">
        <v>497</v>
      </c>
      <c r="I210" s="6">
        <v>7</v>
      </c>
      <c r="J210" s="6" t="s">
        <v>498</v>
      </c>
      <c r="K210" s="6">
        <v>3</v>
      </c>
      <c r="L210" s="6">
        <v>350</v>
      </c>
      <c r="M210" s="6">
        <v>3</v>
      </c>
      <c r="N210" s="6">
        <v>1</v>
      </c>
      <c r="O210" s="6" t="s">
        <v>122</v>
      </c>
      <c r="P210" s="6">
        <v>6</v>
      </c>
      <c r="Q210" s="6">
        <v>4315301</v>
      </c>
      <c r="U210" s="6">
        <v>0</v>
      </c>
      <c r="V210" s="6">
        <v>20000</v>
      </c>
      <c r="W210" s="6">
        <v>0</v>
      </c>
      <c r="X210" s="6">
        <v>270</v>
      </c>
      <c r="Y210" s="6">
        <v>730</v>
      </c>
      <c r="Z210" s="6">
        <f t="shared" si="15"/>
        <v>780</v>
      </c>
      <c r="AA210" s="6">
        <v>19270</v>
      </c>
      <c r="AC210" s="6">
        <v>1</v>
      </c>
      <c r="AD210" s="3">
        <v>0</v>
      </c>
      <c r="AF210" s="41"/>
      <c r="AH210" s="6">
        <v>0</v>
      </c>
      <c r="AI210" s="6">
        <v>0</v>
      </c>
      <c r="AJ210" s="6">
        <v>0</v>
      </c>
      <c r="AK210" s="6">
        <v>0</v>
      </c>
    </row>
    <row r="211" s="6" customFormat="1" spans="1:37">
      <c r="A211" s="6">
        <v>4315303</v>
      </c>
      <c r="B211" s="6">
        <v>4315301</v>
      </c>
      <c r="C211" s="6" t="s">
        <v>493</v>
      </c>
      <c r="D211" s="6" t="s">
        <v>494</v>
      </c>
      <c r="E211" s="6">
        <v>4315301</v>
      </c>
      <c r="F211" s="6">
        <v>2</v>
      </c>
      <c r="G211" s="6">
        <v>3</v>
      </c>
      <c r="H211" s="6" t="s">
        <v>125</v>
      </c>
      <c r="I211" s="6">
        <v>7</v>
      </c>
      <c r="J211" s="6" t="s">
        <v>498</v>
      </c>
      <c r="K211" s="6">
        <v>3</v>
      </c>
      <c r="L211" s="6">
        <v>350</v>
      </c>
      <c r="M211" s="6">
        <v>3</v>
      </c>
      <c r="N211" s="6">
        <v>1</v>
      </c>
      <c r="O211" s="6" t="s">
        <v>122</v>
      </c>
      <c r="P211" s="6">
        <v>6</v>
      </c>
      <c r="Q211" s="6">
        <v>4315301</v>
      </c>
      <c r="U211" s="6">
        <v>0</v>
      </c>
      <c r="V211" s="6">
        <v>20000</v>
      </c>
      <c r="W211" s="6">
        <v>0</v>
      </c>
      <c r="X211" s="6">
        <v>270</v>
      </c>
      <c r="Y211" s="6">
        <v>730</v>
      </c>
      <c r="Z211" s="6">
        <f t="shared" si="15"/>
        <v>780</v>
      </c>
      <c r="AA211" s="6">
        <v>14270</v>
      </c>
      <c r="AC211" s="6">
        <v>1</v>
      </c>
      <c r="AD211" s="3">
        <v>0</v>
      </c>
      <c r="AF211" s="41"/>
      <c r="AH211" s="6">
        <v>0</v>
      </c>
      <c r="AI211" s="6">
        <v>0</v>
      </c>
      <c r="AJ211" s="6">
        <v>0</v>
      </c>
      <c r="AK211" s="6">
        <v>0</v>
      </c>
    </row>
    <row r="212" s="14" customFormat="1" spans="1:37">
      <c r="A212" s="14">
        <v>4316101</v>
      </c>
      <c r="B212" s="14">
        <v>4316101</v>
      </c>
      <c r="C212" s="14" t="s">
        <v>87</v>
      </c>
      <c r="D212" s="14" t="s">
        <v>499</v>
      </c>
      <c r="F212" s="14">
        <v>1</v>
      </c>
      <c r="G212" s="14">
        <v>1</v>
      </c>
      <c r="I212" s="14">
        <v>1</v>
      </c>
      <c r="K212" s="14">
        <v>3</v>
      </c>
      <c r="L212" s="14">
        <v>100</v>
      </c>
      <c r="M212" s="14">
        <v>1</v>
      </c>
      <c r="N212" s="14">
        <v>1</v>
      </c>
      <c r="O212" s="14">
        <v>0</v>
      </c>
      <c r="P212" s="14">
        <v>1</v>
      </c>
      <c r="Q212" s="14">
        <v>4316101</v>
      </c>
      <c r="U212" s="14">
        <v>0</v>
      </c>
      <c r="V212" s="14">
        <v>10000</v>
      </c>
      <c r="W212" s="14">
        <v>0</v>
      </c>
      <c r="X212" s="14">
        <v>330</v>
      </c>
      <c r="Y212" s="14">
        <v>400</v>
      </c>
      <c r="Z212" s="10">
        <f t="shared" si="15"/>
        <v>450</v>
      </c>
      <c r="AA212" s="14">
        <v>450</v>
      </c>
      <c r="AC212" s="14">
        <v>1</v>
      </c>
      <c r="AD212" s="3">
        <v>0</v>
      </c>
      <c r="AF212" s="56"/>
      <c r="AH212" s="6">
        <v>0</v>
      </c>
      <c r="AI212" s="6">
        <v>0</v>
      </c>
      <c r="AJ212" s="14">
        <v>0</v>
      </c>
      <c r="AK212" s="14">
        <v>0</v>
      </c>
    </row>
    <row r="213" s="14" customFormat="1" spans="1:37">
      <c r="A213" s="14">
        <v>4316201</v>
      </c>
      <c r="B213" s="14">
        <v>4316201</v>
      </c>
      <c r="C213" s="14" t="s">
        <v>500</v>
      </c>
      <c r="D213" s="14" t="s">
        <v>501</v>
      </c>
      <c r="E213" s="14">
        <v>4316201</v>
      </c>
      <c r="F213" s="14">
        <v>2</v>
      </c>
      <c r="G213" s="14">
        <v>1</v>
      </c>
      <c r="H213" s="14" t="s">
        <v>502</v>
      </c>
      <c r="I213" s="14">
        <v>2</v>
      </c>
      <c r="K213" s="14">
        <v>3</v>
      </c>
      <c r="L213" s="14">
        <v>100</v>
      </c>
      <c r="M213" s="14">
        <v>2</v>
      </c>
      <c r="N213" s="14">
        <v>1</v>
      </c>
      <c r="O213" s="14">
        <v>0</v>
      </c>
      <c r="P213" s="14">
        <v>1</v>
      </c>
      <c r="Q213" s="14">
        <v>4316201</v>
      </c>
      <c r="U213" s="14">
        <v>0</v>
      </c>
      <c r="V213" s="14">
        <v>10000</v>
      </c>
      <c r="W213" s="14">
        <v>0</v>
      </c>
      <c r="X213" s="14">
        <v>530</v>
      </c>
      <c r="Y213" s="14">
        <v>600</v>
      </c>
      <c r="Z213" s="10">
        <f t="shared" si="15"/>
        <v>650</v>
      </c>
      <c r="AA213" s="14">
        <v>-1</v>
      </c>
      <c r="AB213" s="14" t="s">
        <v>503</v>
      </c>
      <c r="AC213" s="14">
        <v>1</v>
      </c>
      <c r="AD213" s="3">
        <v>0</v>
      </c>
      <c r="AF213" s="56"/>
      <c r="AH213" s="6">
        <v>0</v>
      </c>
      <c r="AI213" s="6">
        <v>0</v>
      </c>
      <c r="AJ213" s="14">
        <v>0</v>
      </c>
      <c r="AK213" s="14">
        <v>0</v>
      </c>
    </row>
    <row r="214" s="14" customFormat="1" spans="1:37">
      <c r="A214" s="14">
        <v>4316202</v>
      </c>
      <c r="B214" s="14">
        <v>4316201</v>
      </c>
      <c r="C214" s="14" t="s">
        <v>500</v>
      </c>
      <c r="D214" s="14" t="s">
        <v>501</v>
      </c>
      <c r="E214" s="14">
        <v>4316201</v>
      </c>
      <c r="F214" s="14">
        <v>2</v>
      </c>
      <c r="G214" s="14">
        <v>2</v>
      </c>
      <c r="H214" s="14" t="s">
        <v>504</v>
      </c>
      <c r="I214" s="14">
        <v>2</v>
      </c>
      <c r="K214" s="14">
        <v>3</v>
      </c>
      <c r="L214" s="14">
        <v>100</v>
      </c>
      <c r="M214" s="14">
        <v>2</v>
      </c>
      <c r="N214" s="14">
        <v>1</v>
      </c>
      <c r="O214" s="14">
        <v>0</v>
      </c>
      <c r="P214" s="14">
        <v>1</v>
      </c>
      <c r="Q214" s="14">
        <v>4316201</v>
      </c>
      <c r="U214" s="14">
        <v>0</v>
      </c>
      <c r="V214" s="14">
        <v>10000</v>
      </c>
      <c r="W214" s="14">
        <v>0</v>
      </c>
      <c r="X214" s="14">
        <v>530</v>
      </c>
      <c r="Y214" s="14">
        <v>600</v>
      </c>
      <c r="Z214" s="10">
        <f t="shared" si="15"/>
        <v>650</v>
      </c>
      <c r="AA214" s="14">
        <v>-1</v>
      </c>
      <c r="AB214" s="14" t="s">
        <v>111</v>
      </c>
      <c r="AC214" s="14">
        <v>1</v>
      </c>
      <c r="AD214" s="3">
        <v>0</v>
      </c>
      <c r="AF214" s="56"/>
      <c r="AH214" s="6">
        <v>0</v>
      </c>
      <c r="AI214" s="6">
        <v>0</v>
      </c>
      <c r="AJ214" s="14">
        <v>0</v>
      </c>
      <c r="AK214" s="14">
        <v>0</v>
      </c>
    </row>
    <row r="215" s="14" customFormat="1" spans="1:37">
      <c r="A215" s="14">
        <v>4316203</v>
      </c>
      <c r="B215" s="14">
        <v>4316201</v>
      </c>
      <c r="C215" s="14" t="s">
        <v>500</v>
      </c>
      <c r="D215" s="14" t="s">
        <v>501</v>
      </c>
      <c r="E215" s="14">
        <v>4316201</v>
      </c>
      <c r="F215" s="14">
        <v>2</v>
      </c>
      <c r="G215" s="14">
        <v>3</v>
      </c>
      <c r="H215" s="14" t="s">
        <v>505</v>
      </c>
      <c r="I215" s="14">
        <v>2</v>
      </c>
      <c r="K215" s="14">
        <v>3</v>
      </c>
      <c r="L215" s="14">
        <v>100</v>
      </c>
      <c r="M215" s="14">
        <v>2</v>
      </c>
      <c r="N215" s="14">
        <v>1</v>
      </c>
      <c r="O215" s="14">
        <v>0</v>
      </c>
      <c r="P215" s="14">
        <v>1</v>
      </c>
      <c r="Q215" s="14">
        <v>4316201</v>
      </c>
      <c r="U215" s="14">
        <v>0</v>
      </c>
      <c r="V215" s="14">
        <v>10000</v>
      </c>
      <c r="W215" s="14">
        <v>0</v>
      </c>
      <c r="X215" s="14">
        <v>530</v>
      </c>
      <c r="Y215" s="14">
        <v>600</v>
      </c>
      <c r="Z215" s="10">
        <f t="shared" si="15"/>
        <v>650</v>
      </c>
      <c r="AA215" s="14">
        <v>-1</v>
      </c>
      <c r="AB215" s="14" t="s">
        <v>133</v>
      </c>
      <c r="AC215" s="14">
        <v>1</v>
      </c>
      <c r="AD215" s="3">
        <v>0</v>
      </c>
      <c r="AF215" s="56"/>
      <c r="AH215" s="6">
        <v>0</v>
      </c>
      <c r="AI215" s="6">
        <v>0</v>
      </c>
      <c r="AJ215" s="14">
        <v>0</v>
      </c>
      <c r="AK215" s="14">
        <v>0</v>
      </c>
    </row>
    <row r="216" s="14" customFormat="1" spans="1:37">
      <c r="A216" s="14">
        <v>4316301</v>
      </c>
      <c r="B216" s="14">
        <v>4316301</v>
      </c>
      <c r="C216" s="14" t="s">
        <v>506</v>
      </c>
      <c r="D216" s="14" t="s">
        <v>507</v>
      </c>
      <c r="E216" s="14">
        <v>4316301</v>
      </c>
      <c r="F216" s="14">
        <v>2</v>
      </c>
      <c r="G216" s="14">
        <v>1</v>
      </c>
      <c r="H216" s="14" t="s">
        <v>508</v>
      </c>
      <c r="I216" s="14">
        <v>2</v>
      </c>
      <c r="K216" s="14">
        <v>2</v>
      </c>
      <c r="L216" s="14">
        <v>100</v>
      </c>
      <c r="M216" s="14">
        <v>3</v>
      </c>
      <c r="N216" s="14">
        <v>1</v>
      </c>
      <c r="O216" s="14" t="s">
        <v>100</v>
      </c>
      <c r="P216" s="14">
        <v>5</v>
      </c>
      <c r="Q216" s="14">
        <v>4316301</v>
      </c>
      <c r="U216" s="14">
        <v>0</v>
      </c>
      <c r="V216" s="14">
        <v>10000</v>
      </c>
      <c r="W216" s="14">
        <v>0</v>
      </c>
      <c r="X216" s="14">
        <v>470</v>
      </c>
      <c r="Y216" s="14">
        <v>1070</v>
      </c>
      <c r="Z216" s="10">
        <f t="shared" si="15"/>
        <v>1120</v>
      </c>
      <c r="AA216" s="14">
        <v>18930</v>
      </c>
      <c r="AC216" s="14">
        <v>1</v>
      </c>
      <c r="AD216" s="3">
        <v>0</v>
      </c>
      <c r="AF216" s="56"/>
      <c r="AH216" s="6">
        <v>0</v>
      </c>
      <c r="AI216" s="6">
        <v>0</v>
      </c>
      <c r="AJ216" s="14">
        <v>0</v>
      </c>
      <c r="AK216" s="14">
        <v>0</v>
      </c>
    </row>
    <row r="217" s="14" customFormat="1" spans="1:37">
      <c r="A217" s="14">
        <v>4316302</v>
      </c>
      <c r="B217" s="14">
        <v>4316301</v>
      </c>
      <c r="C217" s="14" t="s">
        <v>506</v>
      </c>
      <c r="D217" s="14" t="s">
        <v>507</v>
      </c>
      <c r="E217" s="14">
        <v>4316301</v>
      </c>
      <c r="F217" s="14">
        <v>2</v>
      </c>
      <c r="G217" s="14">
        <v>2</v>
      </c>
      <c r="H217" s="14" t="s">
        <v>509</v>
      </c>
      <c r="I217" s="14">
        <v>2</v>
      </c>
      <c r="K217" s="14">
        <v>2</v>
      </c>
      <c r="L217" s="14">
        <v>100</v>
      </c>
      <c r="M217" s="14">
        <v>3</v>
      </c>
      <c r="N217" s="14">
        <v>1</v>
      </c>
      <c r="O217" s="14" t="s">
        <v>100</v>
      </c>
      <c r="P217" s="14">
        <v>5</v>
      </c>
      <c r="Q217" s="14">
        <v>4316301</v>
      </c>
      <c r="U217" s="14">
        <v>0</v>
      </c>
      <c r="V217" s="14">
        <v>10000</v>
      </c>
      <c r="W217" s="14">
        <v>0</v>
      </c>
      <c r="X217" s="14">
        <v>470</v>
      </c>
      <c r="Y217" s="14">
        <v>1070</v>
      </c>
      <c r="Z217" s="10">
        <f t="shared" si="15"/>
        <v>1120</v>
      </c>
      <c r="AA217" s="14">
        <v>18930</v>
      </c>
      <c r="AC217" s="14">
        <v>1</v>
      </c>
      <c r="AD217" s="3">
        <v>0</v>
      </c>
      <c r="AF217" s="56"/>
      <c r="AH217" s="6">
        <v>0</v>
      </c>
      <c r="AI217" s="6">
        <v>0</v>
      </c>
      <c r="AJ217" s="14">
        <v>0</v>
      </c>
      <c r="AK217" s="14">
        <v>0</v>
      </c>
    </row>
    <row r="218" s="14" customFormat="1" spans="1:37">
      <c r="A218" s="14">
        <v>4316303</v>
      </c>
      <c r="B218" s="14">
        <v>4316301</v>
      </c>
      <c r="C218" s="14" t="s">
        <v>506</v>
      </c>
      <c r="D218" s="14" t="s">
        <v>507</v>
      </c>
      <c r="E218" s="14">
        <v>4316301</v>
      </c>
      <c r="F218" s="14">
        <v>2</v>
      </c>
      <c r="G218" s="14">
        <v>3</v>
      </c>
      <c r="H218" s="14" t="s">
        <v>125</v>
      </c>
      <c r="I218" s="14">
        <v>2</v>
      </c>
      <c r="K218" s="14">
        <v>2</v>
      </c>
      <c r="L218" s="14">
        <v>100</v>
      </c>
      <c r="M218" s="14">
        <v>3</v>
      </c>
      <c r="N218" s="14">
        <v>1</v>
      </c>
      <c r="O218" s="14" t="s">
        <v>100</v>
      </c>
      <c r="P218" s="14">
        <v>5</v>
      </c>
      <c r="Q218" s="14">
        <v>4316301</v>
      </c>
      <c r="U218" s="14">
        <v>0</v>
      </c>
      <c r="V218" s="14">
        <v>10000</v>
      </c>
      <c r="W218" s="14">
        <v>0</v>
      </c>
      <c r="X218" s="14">
        <v>470</v>
      </c>
      <c r="Y218" s="14">
        <v>1070</v>
      </c>
      <c r="Z218" s="10">
        <f t="shared" si="15"/>
        <v>1120</v>
      </c>
      <c r="AA218" s="14">
        <v>14930</v>
      </c>
      <c r="AC218" s="14">
        <v>1</v>
      </c>
      <c r="AD218" s="3">
        <v>0</v>
      </c>
      <c r="AF218" s="56"/>
      <c r="AH218" s="6">
        <v>0</v>
      </c>
      <c r="AI218" s="6">
        <v>0</v>
      </c>
      <c r="AJ218" s="14">
        <v>0</v>
      </c>
      <c r="AK218" s="14">
        <v>0</v>
      </c>
    </row>
    <row r="219" s="15" customFormat="1" spans="1:37">
      <c r="A219" s="3">
        <v>4317101</v>
      </c>
      <c r="B219" s="3">
        <v>4317101</v>
      </c>
      <c r="C219" s="15" t="s">
        <v>87</v>
      </c>
      <c r="D219" s="15" t="s">
        <v>510</v>
      </c>
      <c r="F219" s="15">
        <v>1</v>
      </c>
      <c r="G219" s="15">
        <v>1</v>
      </c>
      <c r="I219" s="15">
        <v>7</v>
      </c>
      <c r="J219" s="15" t="s">
        <v>511</v>
      </c>
      <c r="K219" s="15">
        <v>3</v>
      </c>
      <c r="L219" s="3">
        <v>350</v>
      </c>
      <c r="M219" s="3">
        <v>1</v>
      </c>
      <c r="N219" s="3">
        <v>1</v>
      </c>
      <c r="O219" s="3">
        <v>0</v>
      </c>
      <c r="P219" s="15">
        <v>1</v>
      </c>
      <c r="Q219" s="15">
        <v>4317101</v>
      </c>
      <c r="U219" s="9">
        <v>0</v>
      </c>
      <c r="V219" s="3">
        <v>10000</v>
      </c>
      <c r="W219" s="3">
        <f t="shared" ref="W219:W225" si="16">X219-100</f>
        <v>400</v>
      </c>
      <c r="X219" s="15">
        <v>500</v>
      </c>
      <c r="Y219" s="15">
        <v>670</v>
      </c>
      <c r="Z219" s="3">
        <f t="shared" si="15"/>
        <v>720</v>
      </c>
      <c r="AA219" s="3">
        <f>1000-Z219</f>
        <v>280</v>
      </c>
      <c r="AC219" s="15">
        <v>2</v>
      </c>
      <c r="AD219" s="3">
        <v>0</v>
      </c>
      <c r="AF219" s="23"/>
      <c r="AH219" s="3">
        <v>0</v>
      </c>
      <c r="AI219" s="3">
        <v>0</v>
      </c>
      <c r="AJ219" s="15">
        <v>0</v>
      </c>
      <c r="AK219" s="3">
        <v>0</v>
      </c>
    </row>
    <row r="220" s="16" customFormat="1" spans="1:37">
      <c r="A220" s="6">
        <v>4317201</v>
      </c>
      <c r="B220" s="6">
        <v>4317201</v>
      </c>
      <c r="C220" s="57" t="s">
        <v>512</v>
      </c>
      <c r="D220" s="16" t="s">
        <v>513</v>
      </c>
      <c r="E220" s="22">
        <v>4317201</v>
      </c>
      <c r="F220" s="16">
        <v>2</v>
      </c>
      <c r="G220" s="16">
        <v>1</v>
      </c>
      <c r="H220" s="16" t="s">
        <v>514</v>
      </c>
      <c r="I220" s="16">
        <v>7</v>
      </c>
      <c r="J220" s="16" t="s">
        <v>515</v>
      </c>
      <c r="K220" s="16">
        <v>3</v>
      </c>
      <c r="L220" s="6">
        <v>350</v>
      </c>
      <c r="M220" s="6">
        <v>2</v>
      </c>
      <c r="N220" s="6">
        <v>2</v>
      </c>
      <c r="O220" s="57" t="s">
        <v>516</v>
      </c>
      <c r="P220" s="16">
        <v>5</v>
      </c>
      <c r="Q220" s="16">
        <v>4317201</v>
      </c>
      <c r="U220" s="22">
        <v>0</v>
      </c>
      <c r="V220" s="6">
        <v>10000</v>
      </c>
      <c r="W220" s="6">
        <f t="shared" si="16"/>
        <v>900</v>
      </c>
      <c r="X220" s="16">
        <v>1000</v>
      </c>
      <c r="Y220" s="16">
        <v>1170</v>
      </c>
      <c r="Z220" s="6">
        <f t="shared" si="15"/>
        <v>1220</v>
      </c>
      <c r="AA220" s="6">
        <v>-1</v>
      </c>
      <c r="AB220" s="57" t="s">
        <v>517</v>
      </c>
      <c r="AC220" s="57">
        <v>2</v>
      </c>
      <c r="AD220" s="3">
        <v>0</v>
      </c>
      <c r="AF220" s="23"/>
      <c r="AH220" s="6">
        <v>0</v>
      </c>
      <c r="AI220" s="6">
        <v>0</v>
      </c>
      <c r="AJ220" s="16">
        <v>0</v>
      </c>
      <c r="AK220" s="22">
        <v>0</v>
      </c>
    </row>
    <row r="221" s="16" customFormat="1" spans="1:37">
      <c r="A221" s="6">
        <v>4317202</v>
      </c>
      <c r="B221" s="6">
        <v>4317201</v>
      </c>
      <c r="C221" s="57" t="s">
        <v>512</v>
      </c>
      <c r="D221" s="16" t="s">
        <v>513</v>
      </c>
      <c r="E221" s="22">
        <v>4317201</v>
      </c>
      <c r="F221" s="16">
        <v>2</v>
      </c>
      <c r="G221" s="16">
        <v>2</v>
      </c>
      <c r="H221" s="16" t="s">
        <v>518</v>
      </c>
      <c r="I221" s="16">
        <v>7</v>
      </c>
      <c r="J221" s="16" t="s">
        <v>515</v>
      </c>
      <c r="K221" s="16">
        <v>3</v>
      </c>
      <c r="L221" s="6">
        <v>350</v>
      </c>
      <c r="M221" s="6">
        <v>2</v>
      </c>
      <c r="N221" s="6">
        <v>2</v>
      </c>
      <c r="O221" s="57" t="s">
        <v>516</v>
      </c>
      <c r="P221" s="16">
        <v>5</v>
      </c>
      <c r="Q221" s="16">
        <v>4317201</v>
      </c>
      <c r="U221" s="22">
        <v>0</v>
      </c>
      <c r="V221" s="6">
        <v>10000</v>
      </c>
      <c r="W221" s="6">
        <f t="shared" si="16"/>
        <v>900</v>
      </c>
      <c r="X221" s="16">
        <v>1000</v>
      </c>
      <c r="Y221" s="16">
        <v>1170</v>
      </c>
      <c r="Z221" s="6">
        <f t="shared" si="15"/>
        <v>1220</v>
      </c>
      <c r="AA221" s="6">
        <v>-1</v>
      </c>
      <c r="AB221" s="57" t="s">
        <v>517</v>
      </c>
      <c r="AC221" s="57">
        <v>2</v>
      </c>
      <c r="AD221" s="57">
        <v>1</v>
      </c>
      <c r="AE221" s="6" t="s">
        <v>261</v>
      </c>
      <c r="AF221" s="41"/>
      <c r="AG221" s="6"/>
      <c r="AH221" s="6">
        <v>0</v>
      </c>
      <c r="AI221" s="6">
        <v>0</v>
      </c>
      <c r="AJ221" s="16">
        <v>0</v>
      </c>
      <c r="AK221" s="6">
        <v>0</v>
      </c>
    </row>
    <row r="222" s="16" customFormat="1" spans="1:37">
      <c r="A222" s="6">
        <v>4317203</v>
      </c>
      <c r="B222" s="6">
        <v>4317201</v>
      </c>
      <c r="C222" s="57" t="s">
        <v>512</v>
      </c>
      <c r="D222" s="16" t="s">
        <v>513</v>
      </c>
      <c r="E222" s="22">
        <v>4317201</v>
      </c>
      <c r="F222" s="16">
        <v>2</v>
      </c>
      <c r="G222" s="16">
        <v>3</v>
      </c>
      <c r="H222" s="16" t="s">
        <v>519</v>
      </c>
      <c r="I222" s="16">
        <v>7</v>
      </c>
      <c r="J222" s="16" t="s">
        <v>515</v>
      </c>
      <c r="K222" s="16">
        <v>3</v>
      </c>
      <c r="L222" s="6">
        <v>350</v>
      </c>
      <c r="M222" s="6">
        <v>2</v>
      </c>
      <c r="N222" s="6">
        <v>2</v>
      </c>
      <c r="O222" s="57" t="s">
        <v>516</v>
      </c>
      <c r="P222" s="16">
        <v>5</v>
      </c>
      <c r="Q222" s="16">
        <v>4317201</v>
      </c>
      <c r="U222" s="22">
        <v>0</v>
      </c>
      <c r="V222" s="6">
        <v>10000</v>
      </c>
      <c r="W222" s="6">
        <f t="shared" si="16"/>
        <v>900</v>
      </c>
      <c r="X222" s="16">
        <v>1000</v>
      </c>
      <c r="Y222" s="16">
        <v>1170</v>
      </c>
      <c r="Z222" s="6">
        <f t="shared" si="15"/>
        <v>1220</v>
      </c>
      <c r="AA222" s="6">
        <v>-1</v>
      </c>
      <c r="AB222" s="57" t="s">
        <v>520</v>
      </c>
      <c r="AC222" s="57">
        <v>2</v>
      </c>
      <c r="AD222" s="57">
        <v>1</v>
      </c>
      <c r="AE222" s="6" t="s">
        <v>261</v>
      </c>
      <c r="AF222" s="41"/>
      <c r="AG222" s="6"/>
      <c r="AH222" s="6">
        <v>0</v>
      </c>
      <c r="AI222" s="6">
        <v>0</v>
      </c>
      <c r="AJ222" s="16">
        <v>0</v>
      </c>
      <c r="AK222" s="22">
        <v>0</v>
      </c>
    </row>
    <row r="223" s="16" customFormat="1" spans="1:37">
      <c r="A223" s="6">
        <v>4317301</v>
      </c>
      <c r="B223" s="6">
        <v>4317301</v>
      </c>
      <c r="C223" s="57" t="s">
        <v>521</v>
      </c>
      <c r="D223" s="16" t="s">
        <v>522</v>
      </c>
      <c r="E223" s="22">
        <v>4317301</v>
      </c>
      <c r="F223" s="16">
        <v>2</v>
      </c>
      <c r="G223" s="16">
        <v>1</v>
      </c>
      <c r="H223" s="16" t="s">
        <v>523</v>
      </c>
      <c r="I223" s="16">
        <v>2</v>
      </c>
      <c r="K223" s="16">
        <v>3</v>
      </c>
      <c r="L223" s="6">
        <v>350</v>
      </c>
      <c r="M223" s="6">
        <v>3</v>
      </c>
      <c r="N223" s="6">
        <v>3</v>
      </c>
      <c r="O223" s="57" t="s">
        <v>157</v>
      </c>
      <c r="P223" s="16">
        <v>10</v>
      </c>
      <c r="Q223" s="16">
        <v>4317301</v>
      </c>
      <c r="U223" s="22">
        <v>0</v>
      </c>
      <c r="V223" s="16">
        <v>2500</v>
      </c>
      <c r="W223" s="6">
        <v>150</v>
      </c>
      <c r="X223" s="16" t="s">
        <v>482</v>
      </c>
      <c r="Y223" s="16">
        <v>1330</v>
      </c>
      <c r="Z223" s="6">
        <f t="shared" si="15"/>
        <v>1380</v>
      </c>
      <c r="AA223" s="16">
        <v>16000</v>
      </c>
      <c r="AC223" s="16">
        <v>2</v>
      </c>
      <c r="AD223" s="16">
        <v>1</v>
      </c>
      <c r="AE223" s="6" t="s">
        <v>261</v>
      </c>
      <c r="AF223" s="41"/>
      <c r="AG223" s="6"/>
      <c r="AH223" s="6">
        <v>0</v>
      </c>
      <c r="AI223" s="6">
        <v>0</v>
      </c>
      <c r="AJ223" s="16">
        <v>0</v>
      </c>
      <c r="AK223" s="6">
        <v>0</v>
      </c>
    </row>
    <row r="224" s="16" customFormat="1" spans="1:37">
      <c r="A224" s="6">
        <v>4317302</v>
      </c>
      <c r="B224" s="6">
        <v>4317301</v>
      </c>
      <c r="C224" s="57" t="s">
        <v>521</v>
      </c>
      <c r="D224" s="16" t="s">
        <v>522</v>
      </c>
      <c r="E224" s="22">
        <v>4317301</v>
      </c>
      <c r="F224" s="16">
        <v>2</v>
      </c>
      <c r="G224" s="16">
        <v>2</v>
      </c>
      <c r="H224" s="16" t="s">
        <v>125</v>
      </c>
      <c r="I224" s="16">
        <v>2</v>
      </c>
      <c r="K224" s="16">
        <v>3</v>
      </c>
      <c r="L224" s="6">
        <v>350</v>
      </c>
      <c r="M224" s="6">
        <v>3</v>
      </c>
      <c r="N224" s="6">
        <v>3</v>
      </c>
      <c r="O224" s="57" t="s">
        <v>157</v>
      </c>
      <c r="P224" s="16">
        <v>10</v>
      </c>
      <c r="Q224" s="16">
        <v>4317301</v>
      </c>
      <c r="U224" s="22">
        <v>0</v>
      </c>
      <c r="V224" s="16">
        <v>2500</v>
      </c>
      <c r="W224" s="6">
        <v>150</v>
      </c>
      <c r="X224" s="16" t="s">
        <v>482</v>
      </c>
      <c r="Y224" s="16">
        <v>1330</v>
      </c>
      <c r="Z224" s="6">
        <f t="shared" ref="Z224:Z254" si="17">Y224+50</f>
        <v>1380</v>
      </c>
      <c r="AA224" s="16">
        <v>13000</v>
      </c>
      <c r="AC224" s="16">
        <v>2</v>
      </c>
      <c r="AD224" s="16">
        <v>1</v>
      </c>
      <c r="AE224" s="6" t="s">
        <v>261</v>
      </c>
      <c r="AF224" s="41"/>
      <c r="AG224" s="6"/>
      <c r="AH224" s="6">
        <v>0</v>
      </c>
      <c r="AI224" s="6">
        <v>0</v>
      </c>
      <c r="AJ224" s="16">
        <v>0</v>
      </c>
      <c r="AK224" s="22">
        <v>0</v>
      </c>
    </row>
    <row r="225" s="16" customFormat="1" spans="1:37">
      <c r="A225" s="6">
        <v>4317303</v>
      </c>
      <c r="B225" s="6">
        <v>4317301</v>
      </c>
      <c r="C225" s="57" t="s">
        <v>521</v>
      </c>
      <c r="D225" s="16" t="s">
        <v>522</v>
      </c>
      <c r="E225" s="22">
        <v>4317301</v>
      </c>
      <c r="F225" s="16">
        <v>2</v>
      </c>
      <c r="G225" s="16">
        <v>3</v>
      </c>
      <c r="H225" s="16" t="s">
        <v>125</v>
      </c>
      <c r="I225" s="16">
        <v>2</v>
      </c>
      <c r="K225" s="16">
        <v>3</v>
      </c>
      <c r="L225" s="6">
        <v>350</v>
      </c>
      <c r="M225" s="6">
        <v>3</v>
      </c>
      <c r="N225" s="6">
        <v>3</v>
      </c>
      <c r="O225" s="57" t="s">
        <v>157</v>
      </c>
      <c r="P225" s="16">
        <v>10</v>
      </c>
      <c r="Q225" s="16">
        <v>4317301</v>
      </c>
      <c r="U225" s="22">
        <v>0</v>
      </c>
      <c r="V225" s="16">
        <v>2500</v>
      </c>
      <c r="W225" s="6">
        <v>150</v>
      </c>
      <c r="X225" s="16" t="s">
        <v>482</v>
      </c>
      <c r="Y225" s="16">
        <v>1330</v>
      </c>
      <c r="Z225" s="6">
        <f t="shared" si="17"/>
        <v>1380</v>
      </c>
      <c r="AA225" s="16">
        <v>10000</v>
      </c>
      <c r="AC225" s="16">
        <v>2</v>
      </c>
      <c r="AD225" s="16">
        <v>1</v>
      </c>
      <c r="AE225" s="6" t="s">
        <v>261</v>
      </c>
      <c r="AF225" s="41"/>
      <c r="AG225" s="6"/>
      <c r="AH225" s="6">
        <v>0</v>
      </c>
      <c r="AI225" s="6">
        <v>0</v>
      </c>
      <c r="AJ225" s="16">
        <v>0</v>
      </c>
      <c r="AK225" s="6">
        <v>0</v>
      </c>
    </row>
    <row r="226" s="3" customFormat="1" spans="1:37">
      <c r="A226" s="3">
        <v>4318101</v>
      </c>
      <c r="B226" s="3">
        <v>4318101</v>
      </c>
      <c r="C226" s="3" t="s">
        <v>87</v>
      </c>
      <c r="D226" s="3" t="s">
        <v>524</v>
      </c>
      <c r="F226" s="3">
        <v>1</v>
      </c>
      <c r="G226" s="3">
        <v>1</v>
      </c>
      <c r="I226" s="3">
        <v>7</v>
      </c>
      <c r="J226" s="3" t="s">
        <v>525</v>
      </c>
      <c r="K226" s="3">
        <v>3</v>
      </c>
      <c r="L226" s="3">
        <v>350</v>
      </c>
      <c r="M226" s="3">
        <v>1</v>
      </c>
      <c r="N226" s="3">
        <v>1</v>
      </c>
      <c r="O226" s="3">
        <v>0</v>
      </c>
      <c r="P226" s="3">
        <v>1</v>
      </c>
      <c r="Q226" s="3">
        <v>4318101</v>
      </c>
      <c r="U226" s="3">
        <v>0</v>
      </c>
      <c r="V226" s="3">
        <v>10000</v>
      </c>
      <c r="W226" s="3">
        <f>X226-100</f>
        <v>320</v>
      </c>
      <c r="X226" s="3">
        <v>420</v>
      </c>
      <c r="Y226" s="3">
        <v>750</v>
      </c>
      <c r="Z226" s="3">
        <f t="shared" si="17"/>
        <v>800</v>
      </c>
      <c r="AA226" s="3">
        <f>1000-Z226</f>
        <v>200</v>
      </c>
      <c r="AC226" s="3">
        <v>2</v>
      </c>
      <c r="AD226" s="3">
        <v>0</v>
      </c>
      <c r="AF226" s="41"/>
      <c r="AH226" s="3">
        <v>0</v>
      </c>
      <c r="AI226" s="3">
        <v>0</v>
      </c>
      <c r="AJ226" s="3">
        <v>0</v>
      </c>
      <c r="AK226" s="9">
        <v>0</v>
      </c>
    </row>
    <row r="227" s="6" customFormat="1" spans="1:37">
      <c r="A227" s="6">
        <v>4318201</v>
      </c>
      <c r="B227" s="6">
        <v>4318201</v>
      </c>
      <c r="C227" s="6" t="s">
        <v>526</v>
      </c>
      <c r="D227" s="6" t="s">
        <v>527</v>
      </c>
      <c r="E227" s="22">
        <v>4318201</v>
      </c>
      <c r="F227" s="6">
        <v>2</v>
      </c>
      <c r="G227" s="6">
        <v>1</v>
      </c>
      <c r="H227" s="6" t="s">
        <v>528</v>
      </c>
      <c r="I227" s="6">
        <v>7</v>
      </c>
      <c r="J227" s="6" t="s">
        <v>529</v>
      </c>
      <c r="K227" s="6">
        <v>4</v>
      </c>
      <c r="L227" s="6">
        <v>350</v>
      </c>
      <c r="M227" s="6">
        <v>2</v>
      </c>
      <c r="N227" s="6">
        <v>6</v>
      </c>
      <c r="O227" s="6" t="s">
        <v>157</v>
      </c>
      <c r="P227" s="6">
        <v>1</v>
      </c>
      <c r="Q227" s="6">
        <v>4318201</v>
      </c>
      <c r="U227" s="6">
        <v>0</v>
      </c>
      <c r="V227" s="6">
        <v>10000</v>
      </c>
      <c r="W227" s="6">
        <f t="shared" ref="W227:W232" si="18">X227-100</f>
        <v>570</v>
      </c>
      <c r="X227" s="6">
        <v>670</v>
      </c>
      <c r="Y227" s="6">
        <v>1000</v>
      </c>
      <c r="Z227" s="6">
        <f t="shared" si="17"/>
        <v>1050</v>
      </c>
      <c r="AA227" s="6">
        <v>-1</v>
      </c>
      <c r="AB227" s="6" t="s">
        <v>186</v>
      </c>
      <c r="AC227" s="6">
        <v>2</v>
      </c>
      <c r="AD227" s="6">
        <v>1</v>
      </c>
      <c r="AE227" s="6" t="s">
        <v>530</v>
      </c>
      <c r="AF227" s="41"/>
      <c r="AH227" s="6">
        <v>0</v>
      </c>
      <c r="AI227" s="6">
        <v>0</v>
      </c>
      <c r="AJ227" s="6">
        <v>0</v>
      </c>
      <c r="AK227" s="6">
        <v>0</v>
      </c>
    </row>
    <row r="228" s="6" customFormat="1" spans="1:37">
      <c r="A228" s="6">
        <v>4318202</v>
      </c>
      <c r="B228" s="6">
        <v>4318201</v>
      </c>
      <c r="C228" s="6" t="s">
        <v>526</v>
      </c>
      <c r="D228" s="6" t="s">
        <v>527</v>
      </c>
      <c r="E228" s="22">
        <v>4318201</v>
      </c>
      <c r="F228" s="6">
        <v>2</v>
      </c>
      <c r="G228" s="6">
        <v>2</v>
      </c>
      <c r="H228" s="6" t="s">
        <v>531</v>
      </c>
      <c r="I228" s="6">
        <v>7</v>
      </c>
      <c r="J228" s="6" t="s">
        <v>532</v>
      </c>
      <c r="K228" s="6">
        <v>4</v>
      </c>
      <c r="L228" s="6">
        <v>350</v>
      </c>
      <c r="M228" s="6">
        <v>2</v>
      </c>
      <c r="N228" s="6">
        <v>6</v>
      </c>
      <c r="O228" s="6" t="s">
        <v>157</v>
      </c>
      <c r="P228" s="6">
        <v>1</v>
      </c>
      <c r="Q228" s="6">
        <v>4318201</v>
      </c>
      <c r="U228" s="6">
        <v>0</v>
      </c>
      <c r="V228" s="6">
        <v>10000</v>
      </c>
      <c r="W228" s="6">
        <f t="shared" si="18"/>
        <v>570</v>
      </c>
      <c r="X228" s="6">
        <v>670</v>
      </c>
      <c r="Y228" s="6">
        <v>1000</v>
      </c>
      <c r="Z228" s="6">
        <f t="shared" si="17"/>
        <v>1050</v>
      </c>
      <c r="AA228" s="6">
        <v>-1</v>
      </c>
      <c r="AB228" s="6" t="s">
        <v>186</v>
      </c>
      <c r="AC228" s="6">
        <v>2</v>
      </c>
      <c r="AD228" s="6">
        <v>1</v>
      </c>
      <c r="AE228" s="6" t="s">
        <v>533</v>
      </c>
      <c r="AF228" s="41"/>
      <c r="AH228" s="6">
        <v>0</v>
      </c>
      <c r="AI228" s="6">
        <v>0</v>
      </c>
      <c r="AJ228" s="6">
        <v>0</v>
      </c>
      <c r="AK228" s="22">
        <v>0</v>
      </c>
    </row>
    <row r="229" s="6" customFormat="1" spans="1:37">
      <c r="A229" s="6">
        <v>4318203</v>
      </c>
      <c r="B229" s="6">
        <v>4318201</v>
      </c>
      <c r="C229" s="6" t="s">
        <v>526</v>
      </c>
      <c r="D229" s="6" t="s">
        <v>527</v>
      </c>
      <c r="E229" s="22">
        <v>4318201</v>
      </c>
      <c r="F229" s="6">
        <v>2</v>
      </c>
      <c r="G229" s="6">
        <v>3</v>
      </c>
      <c r="H229" s="6" t="s">
        <v>534</v>
      </c>
      <c r="I229" s="6">
        <v>7</v>
      </c>
      <c r="J229" s="6" t="s">
        <v>532</v>
      </c>
      <c r="K229" s="6">
        <v>4</v>
      </c>
      <c r="L229" s="6">
        <v>350</v>
      </c>
      <c r="M229" s="6">
        <v>2</v>
      </c>
      <c r="N229" s="6">
        <v>6</v>
      </c>
      <c r="O229" s="6" t="s">
        <v>157</v>
      </c>
      <c r="P229" s="6">
        <v>1</v>
      </c>
      <c r="Q229" s="6">
        <v>4318201</v>
      </c>
      <c r="U229" s="6">
        <v>0</v>
      </c>
      <c r="V229" s="6">
        <v>10000</v>
      </c>
      <c r="W229" s="6">
        <f t="shared" si="18"/>
        <v>570</v>
      </c>
      <c r="X229" s="6">
        <v>670</v>
      </c>
      <c r="Y229" s="6">
        <v>1000</v>
      </c>
      <c r="Z229" s="6">
        <f t="shared" si="17"/>
        <v>1050</v>
      </c>
      <c r="AA229" s="6">
        <v>-1</v>
      </c>
      <c r="AB229" s="6" t="s">
        <v>166</v>
      </c>
      <c r="AC229" s="6">
        <v>2</v>
      </c>
      <c r="AD229" s="6">
        <v>1</v>
      </c>
      <c r="AE229" s="6" t="s">
        <v>533</v>
      </c>
      <c r="AF229" s="41"/>
      <c r="AH229" s="6">
        <v>0</v>
      </c>
      <c r="AI229" s="6">
        <v>0</v>
      </c>
      <c r="AJ229" s="6">
        <v>0</v>
      </c>
      <c r="AK229" s="6">
        <v>0</v>
      </c>
    </row>
    <row r="230" s="6" customFormat="1" spans="1:37">
      <c r="A230" s="6">
        <v>4318301</v>
      </c>
      <c r="B230" s="6">
        <v>4318301</v>
      </c>
      <c r="C230" s="6" t="s">
        <v>535</v>
      </c>
      <c r="D230" s="6" t="s">
        <v>536</v>
      </c>
      <c r="E230" s="22">
        <v>4318301</v>
      </c>
      <c r="F230" s="6">
        <v>2</v>
      </c>
      <c r="G230" s="6">
        <v>1</v>
      </c>
      <c r="H230" s="6" t="s">
        <v>537</v>
      </c>
      <c r="I230" s="6">
        <v>4</v>
      </c>
      <c r="K230" s="6">
        <v>2</v>
      </c>
      <c r="L230" s="6">
        <v>350</v>
      </c>
      <c r="M230" s="6">
        <v>3</v>
      </c>
      <c r="N230" s="6">
        <v>2</v>
      </c>
      <c r="O230" s="6" t="s">
        <v>157</v>
      </c>
      <c r="P230" s="6">
        <v>10</v>
      </c>
      <c r="Q230" s="6">
        <v>4318301</v>
      </c>
      <c r="U230" s="6">
        <v>0</v>
      </c>
      <c r="V230" s="6">
        <v>10000</v>
      </c>
      <c r="W230" s="6">
        <f t="shared" si="18"/>
        <v>570</v>
      </c>
      <c r="X230" s="6">
        <v>670</v>
      </c>
      <c r="Y230" s="6">
        <v>1830</v>
      </c>
      <c r="Z230" s="6">
        <f t="shared" si="17"/>
        <v>1880</v>
      </c>
      <c r="AA230" s="6">
        <v>35000</v>
      </c>
      <c r="AC230" s="6">
        <v>2</v>
      </c>
      <c r="AD230" s="6">
        <v>1</v>
      </c>
      <c r="AE230" s="6" t="s">
        <v>538</v>
      </c>
      <c r="AF230" s="41"/>
      <c r="AH230" s="6">
        <v>0</v>
      </c>
      <c r="AI230" s="6">
        <v>0</v>
      </c>
      <c r="AJ230" s="6">
        <v>0</v>
      </c>
      <c r="AK230" s="22">
        <v>0</v>
      </c>
    </row>
    <row r="231" s="6" customFormat="1" spans="1:37">
      <c r="A231" s="6">
        <v>4318302</v>
      </c>
      <c r="B231" s="6">
        <v>4318301</v>
      </c>
      <c r="C231" s="6" t="s">
        <v>535</v>
      </c>
      <c r="D231" s="6" t="s">
        <v>536</v>
      </c>
      <c r="E231" s="22">
        <v>4318301</v>
      </c>
      <c r="F231" s="6">
        <v>2</v>
      </c>
      <c r="G231" s="6">
        <v>2</v>
      </c>
      <c r="H231" s="6" t="s">
        <v>125</v>
      </c>
      <c r="I231" s="6">
        <v>4</v>
      </c>
      <c r="K231" s="6">
        <v>2</v>
      </c>
      <c r="L231" s="6">
        <v>350</v>
      </c>
      <c r="M231" s="6">
        <v>3</v>
      </c>
      <c r="N231" s="6">
        <v>2</v>
      </c>
      <c r="O231" s="6" t="s">
        <v>157</v>
      </c>
      <c r="P231" s="6">
        <v>10</v>
      </c>
      <c r="Q231" s="6">
        <v>4318301</v>
      </c>
      <c r="U231" s="6">
        <v>0</v>
      </c>
      <c r="V231" s="6">
        <v>10000</v>
      </c>
      <c r="W231" s="6">
        <f t="shared" si="18"/>
        <v>570</v>
      </c>
      <c r="X231" s="6">
        <v>670</v>
      </c>
      <c r="Y231" s="6">
        <v>1830</v>
      </c>
      <c r="Z231" s="6">
        <f t="shared" si="17"/>
        <v>1880</v>
      </c>
      <c r="AA231" s="6">
        <v>30000</v>
      </c>
      <c r="AC231" s="6">
        <v>2</v>
      </c>
      <c r="AD231" s="6">
        <v>1</v>
      </c>
      <c r="AE231" s="6" t="s">
        <v>538</v>
      </c>
      <c r="AF231" s="41"/>
      <c r="AH231" s="6">
        <v>0</v>
      </c>
      <c r="AI231" s="6">
        <v>0</v>
      </c>
      <c r="AJ231" s="6">
        <v>0</v>
      </c>
      <c r="AK231" s="6">
        <v>0</v>
      </c>
    </row>
    <row r="232" s="6" customFormat="1" spans="1:37">
      <c r="A232" s="6">
        <v>4318303</v>
      </c>
      <c r="B232" s="6">
        <v>4318301</v>
      </c>
      <c r="C232" s="6" t="s">
        <v>535</v>
      </c>
      <c r="D232" s="6" t="s">
        <v>536</v>
      </c>
      <c r="E232" s="22">
        <v>4318301</v>
      </c>
      <c r="F232" s="6">
        <v>2</v>
      </c>
      <c r="G232" s="6">
        <v>3</v>
      </c>
      <c r="H232" s="6" t="s">
        <v>125</v>
      </c>
      <c r="I232" s="6">
        <v>4</v>
      </c>
      <c r="K232" s="6">
        <v>2</v>
      </c>
      <c r="L232" s="6">
        <v>350</v>
      </c>
      <c r="M232" s="6">
        <v>3</v>
      </c>
      <c r="N232" s="6">
        <v>2</v>
      </c>
      <c r="O232" s="6" t="s">
        <v>157</v>
      </c>
      <c r="P232" s="6">
        <v>10</v>
      </c>
      <c r="Q232" s="6">
        <v>4318301</v>
      </c>
      <c r="U232" s="6">
        <v>0</v>
      </c>
      <c r="V232" s="6">
        <v>10000</v>
      </c>
      <c r="W232" s="6">
        <f t="shared" si="18"/>
        <v>570</v>
      </c>
      <c r="X232" s="6">
        <v>670</v>
      </c>
      <c r="Y232" s="6">
        <v>1830</v>
      </c>
      <c r="Z232" s="6">
        <f t="shared" si="17"/>
        <v>1880</v>
      </c>
      <c r="AA232" s="6">
        <v>25000</v>
      </c>
      <c r="AC232" s="6">
        <v>2</v>
      </c>
      <c r="AD232" s="6">
        <v>1</v>
      </c>
      <c r="AE232" s="6" t="s">
        <v>538</v>
      </c>
      <c r="AF232" s="41"/>
      <c r="AH232" s="6">
        <v>0</v>
      </c>
      <c r="AI232" s="6">
        <v>0</v>
      </c>
      <c r="AJ232" s="6">
        <v>0</v>
      </c>
      <c r="AK232" s="22">
        <v>0</v>
      </c>
    </row>
    <row r="233" s="14" customFormat="1" spans="1:37">
      <c r="A233" s="14">
        <v>4319101</v>
      </c>
      <c r="B233" s="14">
        <v>4319101</v>
      </c>
      <c r="C233" s="14" t="s">
        <v>87</v>
      </c>
      <c r="D233" s="14" t="s">
        <v>539</v>
      </c>
      <c r="F233" s="14">
        <v>1</v>
      </c>
      <c r="G233" s="14">
        <v>1</v>
      </c>
      <c r="I233" s="14">
        <v>1</v>
      </c>
      <c r="K233" s="14">
        <v>3</v>
      </c>
      <c r="L233" s="14">
        <v>350</v>
      </c>
      <c r="M233" s="14">
        <v>1</v>
      </c>
      <c r="N233" s="14">
        <v>1</v>
      </c>
      <c r="O233" s="14">
        <v>0</v>
      </c>
      <c r="P233" s="14">
        <v>1</v>
      </c>
      <c r="Q233" s="14">
        <v>4319101</v>
      </c>
      <c r="U233" s="14">
        <v>0</v>
      </c>
      <c r="V233" s="14">
        <v>10000</v>
      </c>
      <c r="W233" s="14">
        <v>660</v>
      </c>
      <c r="X233" s="14">
        <v>670</v>
      </c>
      <c r="Y233" s="14">
        <v>730</v>
      </c>
      <c r="Z233" s="10">
        <f t="shared" si="17"/>
        <v>780</v>
      </c>
      <c r="AA233" s="14">
        <v>450</v>
      </c>
      <c r="AC233" s="14">
        <v>1</v>
      </c>
      <c r="AD233" s="3">
        <v>0</v>
      </c>
      <c r="AF233" s="56"/>
      <c r="AH233" s="6">
        <v>0</v>
      </c>
      <c r="AI233" s="6">
        <v>0</v>
      </c>
      <c r="AJ233" s="14">
        <v>0</v>
      </c>
      <c r="AK233" s="14">
        <v>0</v>
      </c>
    </row>
    <row r="234" s="14" customFormat="1" spans="1:37">
      <c r="A234" s="14">
        <v>4319201</v>
      </c>
      <c r="B234" s="14">
        <v>4319201</v>
      </c>
      <c r="C234" s="14" t="s">
        <v>540</v>
      </c>
      <c r="D234" s="14" t="s">
        <v>541</v>
      </c>
      <c r="E234" s="14">
        <v>4319201</v>
      </c>
      <c r="F234" s="14">
        <v>2</v>
      </c>
      <c r="G234" s="14">
        <v>1</v>
      </c>
      <c r="H234" s="58" t="s">
        <v>542</v>
      </c>
      <c r="I234" s="14">
        <v>2</v>
      </c>
      <c r="K234" s="14">
        <v>3</v>
      </c>
      <c r="L234" s="14">
        <v>350</v>
      </c>
      <c r="M234" s="14">
        <v>2</v>
      </c>
      <c r="N234" s="14">
        <v>1</v>
      </c>
      <c r="O234" s="14">
        <v>0</v>
      </c>
      <c r="P234" s="14">
        <v>1</v>
      </c>
      <c r="Q234" s="14">
        <v>4319201</v>
      </c>
      <c r="U234" s="14">
        <v>0</v>
      </c>
      <c r="V234" s="14">
        <v>20000</v>
      </c>
      <c r="W234" s="14">
        <v>0</v>
      </c>
      <c r="X234" s="14">
        <v>670</v>
      </c>
      <c r="Y234" s="14">
        <v>730</v>
      </c>
      <c r="Z234" s="10">
        <f t="shared" si="17"/>
        <v>780</v>
      </c>
      <c r="AA234" s="14">
        <v>-1</v>
      </c>
      <c r="AB234" s="14" t="s">
        <v>186</v>
      </c>
      <c r="AC234" s="14">
        <v>1</v>
      </c>
      <c r="AD234" s="3">
        <v>0</v>
      </c>
      <c r="AF234" s="56"/>
      <c r="AH234" s="6">
        <v>0</v>
      </c>
      <c r="AI234" s="6">
        <v>0</v>
      </c>
      <c r="AJ234" s="14">
        <v>0</v>
      </c>
      <c r="AK234" s="14">
        <v>0</v>
      </c>
    </row>
    <row r="235" s="14" customFormat="1" spans="1:37">
      <c r="A235" s="14">
        <v>4319202</v>
      </c>
      <c r="B235" s="14">
        <v>4319201</v>
      </c>
      <c r="C235" s="14" t="s">
        <v>540</v>
      </c>
      <c r="D235" s="14" t="s">
        <v>541</v>
      </c>
      <c r="E235" s="14">
        <v>4319201</v>
      </c>
      <c r="F235" s="14">
        <v>2</v>
      </c>
      <c r="G235" s="14">
        <v>2</v>
      </c>
      <c r="H235" s="14" t="s">
        <v>543</v>
      </c>
      <c r="I235" s="14">
        <v>2</v>
      </c>
      <c r="K235" s="14">
        <v>3</v>
      </c>
      <c r="L235" s="14">
        <v>350</v>
      </c>
      <c r="M235" s="14">
        <v>2</v>
      </c>
      <c r="N235" s="14">
        <v>1</v>
      </c>
      <c r="O235" s="14">
        <v>0</v>
      </c>
      <c r="P235" s="14">
        <v>2</v>
      </c>
      <c r="Q235" s="14">
        <v>4319201</v>
      </c>
      <c r="U235" s="14">
        <v>0</v>
      </c>
      <c r="V235" s="14">
        <v>20000</v>
      </c>
      <c r="W235" s="14">
        <v>0</v>
      </c>
      <c r="X235" s="14">
        <v>670</v>
      </c>
      <c r="Y235" s="14">
        <v>730</v>
      </c>
      <c r="Z235" s="10">
        <f t="shared" si="17"/>
        <v>780</v>
      </c>
      <c r="AA235" s="14">
        <v>-1</v>
      </c>
      <c r="AB235" s="14" t="s">
        <v>186</v>
      </c>
      <c r="AC235" s="14">
        <v>1</v>
      </c>
      <c r="AD235" s="3">
        <v>0</v>
      </c>
      <c r="AF235" s="56"/>
      <c r="AH235" s="6">
        <v>0</v>
      </c>
      <c r="AI235" s="6">
        <v>0</v>
      </c>
      <c r="AJ235" s="14">
        <v>0</v>
      </c>
      <c r="AK235" s="14">
        <v>0</v>
      </c>
    </row>
    <row r="236" s="14" customFormat="1" spans="1:37">
      <c r="A236" s="14">
        <v>4319203</v>
      </c>
      <c r="B236" s="14">
        <v>4319201</v>
      </c>
      <c r="C236" s="14" t="s">
        <v>540</v>
      </c>
      <c r="D236" s="14" t="s">
        <v>541</v>
      </c>
      <c r="E236" s="14">
        <v>4319201</v>
      </c>
      <c r="F236" s="14">
        <v>2</v>
      </c>
      <c r="G236" s="14">
        <v>3</v>
      </c>
      <c r="H236" s="14" t="s">
        <v>543</v>
      </c>
      <c r="I236" s="14">
        <v>2</v>
      </c>
      <c r="K236" s="14">
        <v>3</v>
      </c>
      <c r="L236" s="14">
        <v>350</v>
      </c>
      <c r="M236" s="14">
        <v>2</v>
      </c>
      <c r="N236" s="14">
        <v>1</v>
      </c>
      <c r="O236" s="14">
        <v>0</v>
      </c>
      <c r="P236" s="14">
        <v>3</v>
      </c>
      <c r="Q236" s="14">
        <v>4319201</v>
      </c>
      <c r="U236" s="14">
        <v>0</v>
      </c>
      <c r="V236" s="14">
        <v>20000</v>
      </c>
      <c r="W236" s="14">
        <v>0</v>
      </c>
      <c r="X236" s="14">
        <v>670</v>
      </c>
      <c r="Y236" s="14">
        <v>730</v>
      </c>
      <c r="Z236" s="10">
        <f t="shared" si="17"/>
        <v>780</v>
      </c>
      <c r="AA236" s="14">
        <v>-1</v>
      </c>
      <c r="AB236" s="14" t="s">
        <v>186</v>
      </c>
      <c r="AC236" s="14">
        <v>1</v>
      </c>
      <c r="AD236" s="3">
        <v>0</v>
      </c>
      <c r="AF236" s="56"/>
      <c r="AH236" s="6">
        <v>0</v>
      </c>
      <c r="AI236" s="6">
        <v>0</v>
      </c>
      <c r="AJ236" s="14">
        <v>0</v>
      </c>
      <c r="AK236" s="14">
        <v>0</v>
      </c>
    </row>
    <row r="237" s="14" customFormat="1" spans="1:37">
      <c r="A237" s="14">
        <v>4319301</v>
      </c>
      <c r="B237" s="14">
        <v>4319301</v>
      </c>
      <c r="C237" s="14" t="s">
        <v>544</v>
      </c>
      <c r="D237" s="14" t="s">
        <v>545</v>
      </c>
      <c r="E237" s="14">
        <v>4319301</v>
      </c>
      <c r="F237" s="14">
        <v>2</v>
      </c>
      <c r="G237" s="14">
        <v>1</v>
      </c>
      <c r="H237" s="14" t="s">
        <v>546</v>
      </c>
      <c r="I237" s="14">
        <v>2</v>
      </c>
      <c r="K237" s="14">
        <v>3</v>
      </c>
      <c r="L237" s="14">
        <v>350</v>
      </c>
      <c r="M237" s="14">
        <v>3</v>
      </c>
      <c r="N237" s="14">
        <v>2</v>
      </c>
      <c r="O237" s="14" t="s">
        <v>146</v>
      </c>
      <c r="P237" s="14">
        <v>8</v>
      </c>
      <c r="Q237" s="14">
        <v>4319301</v>
      </c>
      <c r="U237" s="14">
        <v>0</v>
      </c>
      <c r="V237" s="14">
        <v>20000</v>
      </c>
      <c r="W237" s="14">
        <v>0</v>
      </c>
      <c r="X237" s="14">
        <v>600</v>
      </c>
      <c r="Y237" s="14">
        <v>930</v>
      </c>
      <c r="Z237" s="10">
        <f t="shared" si="17"/>
        <v>980</v>
      </c>
      <c r="AA237" s="14">
        <v>25070</v>
      </c>
      <c r="AC237" s="14">
        <v>1</v>
      </c>
      <c r="AD237" s="3">
        <v>0</v>
      </c>
      <c r="AF237" s="56"/>
      <c r="AH237" s="6">
        <v>0</v>
      </c>
      <c r="AI237" s="6">
        <v>0</v>
      </c>
      <c r="AJ237" s="14">
        <v>0</v>
      </c>
      <c r="AK237" s="14">
        <v>0</v>
      </c>
    </row>
    <row r="238" s="14" customFormat="1" spans="1:37">
      <c r="A238" s="14">
        <v>4319302</v>
      </c>
      <c r="B238" s="14">
        <v>4319301</v>
      </c>
      <c r="C238" s="14" t="s">
        <v>544</v>
      </c>
      <c r="D238" s="14" t="s">
        <v>545</v>
      </c>
      <c r="E238" s="14">
        <v>4319301</v>
      </c>
      <c r="F238" s="14">
        <v>2</v>
      </c>
      <c r="G238" s="14">
        <v>2</v>
      </c>
      <c r="H238" s="14" t="s">
        <v>547</v>
      </c>
      <c r="I238" s="14">
        <v>2</v>
      </c>
      <c r="K238" s="14">
        <v>3</v>
      </c>
      <c r="L238" s="14">
        <v>350</v>
      </c>
      <c r="M238" s="14">
        <v>3</v>
      </c>
      <c r="N238" s="14">
        <v>2</v>
      </c>
      <c r="O238" s="14" t="s">
        <v>177</v>
      </c>
      <c r="P238" s="14">
        <v>12</v>
      </c>
      <c r="Q238" s="14">
        <v>4319301</v>
      </c>
      <c r="U238" s="14">
        <v>0</v>
      </c>
      <c r="V238" s="14">
        <v>20000</v>
      </c>
      <c r="W238" s="14">
        <v>0</v>
      </c>
      <c r="X238" s="14">
        <v>600</v>
      </c>
      <c r="Y238" s="14">
        <v>930</v>
      </c>
      <c r="Z238" s="10">
        <f t="shared" si="17"/>
        <v>980</v>
      </c>
      <c r="AA238" s="14">
        <v>25070</v>
      </c>
      <c r="AC238" s="14">
        <v>1</v>
      </c>
      <c r="AD238" s="3">
        <v>0</v>
      </c>
      <c r="AF238" s="56"/>
      <c r="AH238" s="6">
        <v>0</v>
      </c>
      <c r="AI238" s="6">
        <v>0</v>
      </c>
      <c r="AJ238" s="14">
        <v>0</v>
      </c>
      <c r="AK238" s="14">
        <v>0</v>
      </c>
    </row>
    <row r="239" s="14" customFormat="1" spans="1:37">
      <c r="A239" s="14">
        <v>4319303</v>
      </c>
      <c r="B239" s="14">
        <v>4319301</v>
      </c>
      <c r="C239" s="14" t="s">
        <v>544</v>
      </c>
      <c r="D239" s="14" t="s">
        <v>545</v>
      </c>
      <c r="E239" s="14">
        <v>4319301</v>
      </c>
      <c r="F239" s="14">
        <v>2</v>
      </c>
      <c r="G239" s="14">
        <v>3</v>
      </c>
      <c r="H239" s="14" t="s">
        <v>125</v>
      </c>
      <c r="I239" s="14">
        <v>2</v>
      </c>
      <c r="K239" s="14">
        <v>3</v>
      </c>
      <c r="L239" s="14">
        <v>350</v>
      </c>
      <c r="M239" s="14">
        <v>3</v>
      </c>
      <c r="N239" s="14">
        <v>2</v>
      </c>
      <c r="O239" s="14" t="s">
        <v>177</v>
      </c>
      <c r="P239" s="14">
        <v>12</v>
      </c>
      <c r="Q239" s="14">
        <v>4319301</v>
      </c>
      <c r="U239" s="14">
        <v>0</v>
      </c>
      <c r="V239" s="14">
        <v>20000</v>
      </c>
      <c r="W239" s="14">
        <v>0</v>
      </c>
      <c r="X239" s="14">
        <v>600</v>
      </c>
      <c r="Y239" s="14">
        <v>930</v>
      </c>
      <c r="Z239" s="10">
        <f t="shared" si="17"/>
        <v>980</v>
      </c>
      <c r="AA239" s="14">
        <v>19070</v>
      </c>
      <c r="AC239" s="14">
        <v>1</v>
      </c>
      <c r="AD239" s="3">
        <v>0</v>
      </c>
      <c r="AF239" s="56"/>
      <c r="AH239" s="6">
        <v>0</v>
      </c>
      <c r="AI239" s="6">
        <v>0</v>
      </c>
      <c r="AJ239" s="14">
        <v>0</v>
      </c>
      <c r="AK239" s="14">
        <v>0</v>
      </c>
    </row>
    <row r="240" s="3" customFormat="1" spans="1:37">
      <c r="A240" s="3">
        <v>4320101</v>
      </c>
      <c r="B240" s="3">
        <v>4320101</v>
      </c>
      <c r="C240" s="3" t="s">
        <v>87</v>
      </c>
      <c r="D240" s="3" t="s">
        <v>548</v>
      </c>
      <c r="F240" s="3">
        <v>1</v>
      </c>
      <c r="G240" s="3">
        <v>1</v>
      </c>
      <c r="I240" s="3">
        <v>1</v>
      </c>
      <c r="K240" s="3">
        <v>99</v>
      </c>
      <c r="L240" s="3">
        <v>0</v>
      </c>
      <c r="M240" s="3">
        <v>1</v>
      </c>
      <c r="N240" s="3">
        <v>1</v>
      </c>
      <c r="O240" s="3">
        <v>0</v>
      </c>
      <c r="P240" s="3">
        <v>0</v>
      </c>
      <c r="Q240" s="3">
        <v>4320101</v>
      </c>
      <c r="U240" s="3">
        <v>0</v>
      </c>
      <c r="V240" s="3">
        <v>10000</v>
      </c>
      <c r="W240" s="3">
        <v>0</v>
      </c>
      <c r="X240" s="3">
        <v>0</v>
      </c>
      <c r="Y240" s="3">
        <v>0</v>
      </c>
      <c r="Z240" s="3">
        <v>0</v>
      </c>
      <c r="AA240" s="3">
        <v>0</v>
      </c>
      <c r="AC240" s="3">
        <v>1</v>
      </c>
      <c r="AD240" s="3">
        <v>0</v>
      </c>
      <c r="AF240" s="41"/>
      <c r="AH240" s="3">
        <v>0</v>
      </c>
      <c r="AI240" s="3">
        <v>0</v>
      </c>
      <c r="AJ240" s="3">
        <v>0</v>
      </c>
      <c r="AK240" s="9">
        <v>0</v>
      </c>
    </row>
    <row r="241" s="10" customFormat="1" spans="1:37">
      <c r="A241" s="10">
        <v>4320201</v>
      </c>
      <c r="B241" s="10">
        <v>4320201</v>
      </c>
      <c r="C241" s="10" t="s">
        <v>549</v>
      </c>
      <c r="D241" s="10" t="s">
        <v>550</v>
      </c>
      <c r="E241" s="48">
        <v>4320201</v>
      </c>
      <c r="F241" s="10">
        <v>2</v>
      </c>
      <c r="G241" s="10">
        <v>1</v>
      </c>
      <c r="H241" s="10" t="s">
        <v>551</v>
      </c>
      <c r="I241" s="10">
        <v>3</v>
      </c>
      <c r="J241" s="10">
        <v>1</v>
      </c>
      <c r="K241" s="10">
        <v>2</v>
      </c>
      <c r="L241" s="10">
        <v>350</v>
      </c>
      <c r="M241" s="10">
        <v>2</v>
      </c>
      <c r="N241" s="10">
        <v>6</v>
      </c>
      <c r="O241" s="10">
        <v>0</v>
      </c>
      <c r="P241" s="10">
        <v>1</v>
      </c>
      <c r="Q241" s="10">
        <v>4320201</v>
      </c>
      <c r="U241" s="10">
        <v>0</v>
      </c>
      <c r="V241" s="10">
        <v>10000</v>
      </c>
      <c r="W241" s="10">
        <f t="shared" ref="W241:W246" si="19">X241-100</f>
        <v>980</v>
      </c>
      <c r="X241" s="10">
        <v>1080</v>
      </c>
      <c r="Y241" s="10">
        <v>1170</v>
      </c>
      <c r="Z241" s="10">
        <f t="shared" si="17"/>
        <v>1220</v>
      </c>
      <c r="AA241" s="10">
        <v>450</v>
      </c>
      <c r="AC241" s="10">
        <v>2</v>
      </c>
      <c r="AD241" s="3">
        <v>0</v>
      </c>
      <c r="AF241" s="41"/>
      <c r="AH241" s="6">
        <v>0</v>
      </c>
      <c r="AI241" s="6">
        <v>0</v>
      </c>
      <c r="AJ241" s="10">
        <v>0</v>
      </c>
      <c r="AK241" s="10">
        <v>0</v>
      </c>
    </row>
    <row r="242" s="10" customFormat="1" spans="1:37">
      <c r="A242" s="10">
        <v>4320202</v>
      </c>
      <c r="B242" s="10">
        <v>4320201</v>
      </c>
      <c r="C242" s="10" t="s">
        <v>549</v>
      </c>
      <c r="D242" s="10" t="s">
        <v>550</v>
      </c>
      <c r="E242" s="48">
        <v>4320201</v>
      </c>
      <c r="F242" s="10">
        <v>2</v>
      </c>
      <c r="G242" s="10">
        <v>2</v>
      </c>
      <c r="H242" s="10" t="s">
        <v>552</v>
      </c>
      <c r="I242" s="10">
        <v>3</v>
      </c>
      <c r="J242" s="10">
        <v>1</v>
      </c>
      <c r="K242" s="10">
        <v>2</v>
      </c>
      <c r="L242" s="10">
        <v>350</v>
      </c>
      <c r="M242" s="10">
        <v>2</v>
      </c>
      <c r="N242" s="10">
        <v>6</v>
      </c>
      <c r="O242" s="10">
        <v>0</v>
      </c>
      <c r="P242" s="10">
        <v>2</v>
      </c>
      <c r="Q242" s="10">
        <v>4320201</v>
      </c>
      <c r="U242" s="10">
        <v>0</v>
      </c>
      <c r="V242" s="10">
        <v>10000</v>
      </c>
      <c r="W242" s="10">
        <f t="shared" si="19"/>
        <v>980</v>
      </c>
      <c r="X242" s="10">
        <v>1080</v>
      </c>
      <c r="Y242" s="10">
        <v>1170</v>
      </c>
      <c r="Z242" s="10">
        <f t="shared" si="17"/>
        <v>1220</v>
      </c>
      <c r="AA242" s="10">
        <v>450</v>
      </c>
      <c r="AC242" s="10">
        <v>2</v>
      </c>
      <c r="AD242" s="3">
        <v>0</v>
      </c>
      <c r="AF242" s="41"/>
      <c r="AH242" s="6">
        <v>0</v>
      </c>
      <c r="AI242" s="6">
        <v>0</v>
      </c>
      <c r="AJ242" s="10">
        <v>0</v>
      </c>
      <c r="AK242" s="48">
        <v>0</v>
      </c>
    </row>
    <row r="243" s="10" customFormat="1" spans="1:37">
      <c r="A243" s="10">
        <v>4320203</v>
      </c>
      <c r="B243" s="10">
        <v>4320201</v>
      </c>
      <c r="C243" s="10" t="s">
        <v>549</v>
      </c>
      <c r="D243" s="10" t="s">
        <v>550</v>
      </c>
      <c r="E243" s="48">
        <v>4320201</v>
      </c>
      <c r="F243" s="10">
        <v>2</v>
      </c>
      <c r="G243" s="10">
        <v>3</v>
      </c>
      <c r="H243" s="10" t="s">
        <v>291</v>
      </c>
      <c r="I243" s="10">
        <v>3</v>
      </c>
      <c r="J243" s="10">
        <v>1</v>
      </c>
      <c r="K243" s="10">
        <v>2</v>
      </c>
      <c r="L243" s="10">
        <v>350</v>
      </c>
      <c r="M243" s="10">
        <v>2</v>
      </c>
      <c r="N243" s="10">
        <v>6</v>
      </c>
      <c r="O243" s="10">
        <v>0</v>
      </c>
      <c r="P243" s="10">
        <v>2</v>
      </c>
      <c r="Q243" s="10">
        <v>4320201</v>
      </c>
      <c r="U243" s="10">
        <v>0</v>
      </c>
      <c r="V243" s="10">
        <v>12000</v>
      </c>
      <c r="W243" s="10">
        <f t="shared" si="19"/>
        <v>980</v>
      </c>
      <c r="X243" s="10">
        <v>1080</v>
      </c>
      <c r="Y243" s="10">
        <v>1170</v>
      </c>
      <c r="Z243" s="10">
        <f t="shared" si="17"/>
        <v>1220</v>
      </c>
      <c r="AA243" s="10">
        <v>450</v>
      </c>
      <c r="AC243" s="10">
        <v>2</v>
      </c>
      <c r="AD243" s="3">
        <v>0</v>
      </c>
      <c r="AF243" s="41"/>
      <c r="AH243" s="6">
        <v>0</v>
      </c>
      <c r="AI243" s="6">
        <v>0</v>
      </c>
      <c r="AJ243" s="10">
        <v>0</v>
      </c>
      <c r="AK243" s="10">
        <v>0</v>
      </c>
    </row>
    <row r="244" s="10" customFormat="1" spans="1:37">
      <c r="A244" s="10">
        <v>4320301</v>
      </c>
      <c r="B244" s="10">
        <v>4320301</v>
      </c>
      <c r="C244" s="10" t="s">
        <v>553</v>
      </c>
      <c r="D244" s="10" t="s">
        <v>554</v>
      </c>
      <c r="E244" s="48">
        <v>4320301</v>
      </c>
      <c r="F244" s="10">
        <v>2</v>
      </c>
      <c r="G244" s="10">
        <v>1</v>
      </c>
      <c r="H244" s="10" t="s">
        <v>555</v>
      </c>
      <c r="I244" s="10">
        <v>3</v>
      </c>
      <c r="J244" s="10">
        <v>1</v>
      </c>
      <c r="K244" s="10">
        <v>2</v>
      </c>
      <c r="L244" s="10">
        <v>350</v>
      </c>
      <c r="M244" s="10">
        <v>3</v>
      </c>
      <c r="N244" s="10">
        <v>2</v>
      </c>
      <c r="O244" s="10" t="s">
        <v>122</v>
      </c>
      <c r="P244" s="10">
        <v>10</v>
      </c>
      <c r="Q244" s="10">
        <v>4320301</v>
      </c>
      <c r="U244" s="10">
        <v>0</v>
      </c>
      <c r="V244" s="10">
        <v>10000</v>
      </c>
      <c r="W244" s="10">
        <f t="shared" si="19"/>
        <v>400</v>
      </c>
      <c r="X244" s="10">
        <v>500</v>
      </c>
      <c r="Y244" s="10">
        <v>1500</v>
      </c>
      <c r="Z244" s="10">
        <f t="shared" si="17"/>
        <v>1550</v>
      </c>
      <c r="AA244" s="10">
        <v>15000</v>
      </c>
      <c r="AC244" s="10">
        <v>2</v>
      </c>
      <c r="AD244" s="3">
        <v>0</v>
      </c>
      <c r="AF244" s="41"/>
      <c r="AH244" s="6">
        <v>0</v>
      </c>
      <c r="AI244" s="6">
        <v>0</v>
      </c>
      <c r="AJ244" s="10">
        <v>0</v>
      </c>
      <c r="AK244" s="48">
        <v>0</v>
      </c>
    </row>
    <row r="245" s="10" customFormat="1" spans="1:37">
      <c r="A245" s="10">
        <v>4320302</v>
      </c>
      <c r="B245" s="10">
        <v>4320301</v>
      </c>
      <c r="C245" s="10" t="s">
        <v>553</v>
      </c>
      <c r="D245" s="10" t="s">
        <v>554</v>
      </c>
      <c r="E245" s="48">
        <v>4320301</v>
      </c>
      <c r="F245" s="10">
        <v>2</v>
      </c>
      <c r="G245" s="10">
        <v>2</v>
      </c>
      <c r="H245" s="10" t="s">
        <v>125</v>
      </c>
      <c r="I245" s="10">
        <v>3</v>
      </c>
      <c r="J245" s="10">
        <v>1</v>
      </c>
      <c r="K245" s="10">
        <v>2</v>
      </c>
      <c r="L245" s="10">
        <v>350</v>
      </c>
      <c r="M245" s="10">
        <v>3</v>
      </c>
      <c r="N245" s="10">
        <v>2</v>
      </c>
      <c r="O245" s="10" t="s">
        <v>122</v>
      </c>
      <c r="P245" s="10">
        <v>10</v>
      </c>
      <c r="Q245" s="10">
        <v>4320301</v>
      </c>
      <c r="U245" s="10">
        <v>0</v>
      </c>
      <c r="V245" s="10">
        <v>10000</v>
      </c>
      <c r="W245" s="10">
        <f t="shared" si="19"/>
        <v>400</v>
      </c>
      <c r="X245" s="10">
        <v>500</v>
      </c>
      <c r="Y245" s="10">
        <v>1500</v>
      </c>
      <c r="Z245" s="10">
        <f t="shared" si="17"/>
        <v>1550</v>
      </c>
      <c r="AA245" s="10">
        <v>12000</v>
      </c>
      <c r="AC245" s="10">
        <v>2</v>
      </c>
      <c r="AD245" s="3">
        <v>0</v>
      </c>
      <c r="AF245" s="41"/>
      <c r="AH245" s="6">
        <v>0</v>
      </c>
      <c r="AI245" s="6">
        <v>0</v>
      </c>
      <c r="AJ245" s="10">
        <v>0</v>
      </c>
      <c r="AK245" s="10">
        <v>0</v>
      </c>
    </row>
    <row r="246" s="10" customFormat="1" spans="1:37">
      <c r="A246" s="10">
        <v>4320303</v>
      </c>
      <c r="B246" s="10">
        <v>4320301</v>
      </c>
      <c r="C246" s="10" t="s">
        <v>553</v>
      </c>
      <c r="D246" s="10" t="s">
        <v>554</v>
      </c>
      <c r="E246" s="48">
        <v>4320301</v>
      </c>
      <c r="F246" s="10">
        <v>2</v>
      </c>
      <c r="G246" s="10">
        <v>3</v>
      </c>
      <c r="H246" s="10" t="s">
        <v>291</v>
      </c>
      <c r="I246" s="10">
        <v>3</v>
      </c>
      <c r="J246" s="10">
        <v>1</v>
      </c>
      <c r="K246" s="10">
        <v>2</v>
      </c>
      <c r="L246" s="10">
        <v>350</v>
      </c>
      <c r="M246" s="10">
        <v>3</v>
      </c>
      <c r="N246" s="10">
        <v>2</v>
      </c>
      <c r="O246" s="10" t="s">
        <v>122</v>
      </c>
      <c r="P246" s="10">
        <v>10</v>
      </c>
      <c r="Q246" s="10">
        <v>4320301</v>
      </c>
      <c r="U246" s="10">
        <v>0</v>
      </c>
      <c r="V246" s="10">
        <v>12000</v>
      </c>
      <c r="W246" s="10">
        <f t="shared" si="19"/>
        <v>400</v>
      </c>
      <c r="X246" s="10">
        <v>500</v>
      </c>
      <c r="Y246" s="10">
        <v>1500</v>
      </c>
      <c r="Z246" s="10">
        <f t="shared" si="17"/>
        <v>1550</v>
      </c>
      <c r="AA246" s="10">
        <v>12000</v>
      </c>
      <c r="AC246" s="10">
        <v>2</v>
      </c>
      <c r="AD246" s="3">
        <v>0</v>
      </c>
      <c r="AF246" s="41"/>
      <c r="AH246" s="6">
        <v>0</v>
      </c>
      <c r="AI246" s="6">
        <v>0</v>
      </c>
      <c r="AJ246" s="10">
        <v>0</v>
      </c>
      <c r="AK246" s="48">
        <v>0</v>
      </c>
    </row>
    <row r="247" s="6" customFormat="1" spans="1:37">
      <c r="A247" s="6">
        <v>4321101</v>
      </c>
      <c r="B247" s="6">
        <v>4321101</v>
      </c>
      <c r="C247" s="6" t="s">
        <v>87</v>
      </c>
      <c r="D247" s="6" t="s">
        <v>556</v>
      </c>
      <c r="F247" s="6">
        <v>1</v>
      </c>
      <c r="G247" s="6">
        <v>1</v>
      </c>
      <c r="I247" s="6">
        <v>7</v>
      </c>
      <c r="J247" s="3" t="s">
        <v>557</v>
      </c>
      <c r="K247" s="6">
        <v>3</v>
      </c>
      <c r="L247" s="6">
        <v>350</v>
      </c>
      <c r="M247" s="6">
        <v>1</v>
      </c>
      <c r="N247" s="6">
        <v>1</v>
      </c>
      <c r="O247" s="6">
        <v>0</v>
      </c>
      <c r="P247" s="6">
        <v>1</v>
      </c>
      <c r="Q247" s="6">
        <v>4321101</v>
      </c>
      <c r="U247" s="6">
        <v>0</v>
      </c>
      <c r="V247" s="6">
        <v>10000</v>
      </c>
      <c r="W247" s="6">
        <v>0</v>
      </c>
      <c r="X247" s="6">
        <v>530</v>
      </c>
      <c r="Y247" s="6">
        <v>600</v>
      </c>
      <c r="Z247" s="6">
        <f t="shared" si="17"/>
        <v>650</v>
      </c>
      <c r="AA247" s="6">
        <v>450</v>
      </c>
      <c r="AC247" s="6">
        <v>1</v>
      </c>
      <c r="AD247" s="3">
        <v>0</v>
      </c>
      <c r="AF247" s="41"/>
      <c r="AH247" s="6">
        <v>0</v>
      </c>
      <c r="AI247" s="6">
        <v>0</v>
      </c>
      <c r="AJ247" s="6">
        <v>0</v>
      </c>
      <c r="AK247" s="6">
        <v>0</v>
      </c>
    </row>
    <row r="248" s="6" customFormat="1" spans="1:37">
      <c r="A248" s="6">
        <v>4321201</v>
      </c>
      <c r="B248" s="6">
        <v>4321201</v>
      </c>
      <c r="C248" s="6" t="s">
        <v>558</v>
      </c>
      <c r="D248" s="6" t="s">
        <v>559</v>
      </c>
      <c r="E248" s="6">
        <v>4321201</v>
      </c>
      <c r="F248" s="6">
        <v>2</v>
      </c>
      <c r="G248" s="6">
        <v>1</v>
      </c>
      <c r="H248" s="6" t="s">
        <v>560</v>
      </c>
      <c r="I248" s="6">
        <v>6</v>
      </c>
      <c r="J248" s="3" t="s">
        <v>561</v>
      </c>
      <c r="K248" s="6">
        <v>3</v>
      </c>
      <c r="L248" s="6">
        <v>350</v>
      </c>
      <c r="M248" s="6">
        <v>2</v>
      </c>
      <c r="N248" s="6">
        <v>1</v>
      </c>
      <c r="O248" s="6">
        <v>0</v>
      </c>
      <c r="P248" s="6">
        <v>10</v>
      </c>
      <c r="Q248" s="6">
        <v>4321201</v>
      </c>
      <c r="U248" s="6">
        <v>0</v>
      </c>
      <c r="V248" s="6">
        <v>10000</v>
      </c>
      <c r="W248" s="6">
        <v>0</v>
      </c>
      <c r="X248" s="6">
        <v>530</v>
      </c>
      <c r="Y248" s="6">
        <v>600</v>
      </c>
      <c r="Z248" s="6">
        <f t="shared" si="17"/>
        <v>650</v>
      </c>
      <c r="AA248" s="6">
        <v>-1</v>
      </c>
      <c r="AB248" s="6" t="s">
        <v>133</v>
      </c>
      <c r="AC248" s="6">
        <v>1</v>
      </c>
      <c r="AD248" s="6">
        <v>1</v>
      </c>
      <c r="AE248" s="17" t="s">
        <v>562</v>
      </c>
      <c r="AF248" s="41"/>
      <c r="AH248" s="6">
        <v>0</v>
      </c>
      <c r="AI248" s="6">
        <v>0</v>
      </c>
      <c r="AJ248" s="6">
        <v>0</v>
      </c>
      <c r="AK248" s="6">
        <v>0</v>
      </c>
    </row>
    <row r="249" s="6" customFormat="1" spans="1:37">
      <c r="A249" s="6">
        <v>4321202</v>
      </c>
      <c r="B249" s="6">
        <v>4321201</v>
      </c>
      <c r="C249" s="6" t="s">
        <v>558</v>
      </c>
      <c r="D249" s="6" t="s">
        <v>559</v>
      </c>
      <c r="E249" s="6">
        <v>4321201</v>
      </c>
      <c r="F249" s="6">
        <v>2</v>
      </c>
      <c r="G249" s="6">
        <v>2</v>
      </c>
      <c r="H249" s="6" t="s">
        <v>563</v>
      </c>
      <c r="I249" s="6">
        <v>6</v>
      </c>
      <c r="J249" s="3" t="s">
        <v>564</v>
      </c>
      <c r="K249" s="6">
        <v>3</v>
      </c>
      <c r="L249" s="6">
        <v>350</v>
      </c>
      <c r="M249" s="6">
        <v>2</v>
      </c>
      <c r="N249" s="6">
        <v>1</v>
      </c>
      <c r="O249" s="6">
        <v>0</v>
      </c>
      <c r="P249" s="6">
        <v>10</v>
      </c>
      <c r="Q249" s="6">
        <v>4321201</v>
      </c>
      <c r="U249" s="6">
        <v>0</v>
      </c>
      <c r="V249" s="6">
        <v>10000</v>
      </c>
      <c r="W249" s="6">
        <v>0</v>
      </c>
      <c r="X249" s="6">
        <v>530</v>
      </c>
      <c r="Y249" s="6">
        <v>600</v>
      </c>
      <c r="Z249" s="6">
        <f t="shared" si="17"/>
        <v>650</v>
      </c>
      <c r="AA249" s="6">
        <v>-1</v>
      </c>
      <c r="AB249" s="6" t="s">
        <v>133</v>
      </c>
      <c r="AC249" s="6">
        <v>1</v>
      </c>
      <c r="AD249" s="6">
        <v>1</v>
      </c>
      <c r="AE249" s="17" t="s">
        <v>562</v>
      </c>
      <c r="AF249" s="41"/>
      <c r="AH249" s="6">
        <v>0</v>
      </c>
      <c r="AI249" s="6">
        <v>0</v>
      </c>
      <c r="AJ249" s="6">
        <v>0</v>
      </c>
      <c r="AK249" s="6">
        <v>0</v>
      </c>
    </row>
    <row r="250" s="6" customFormat="1" spans="1:37">
      <c r="A250" s="6">
        <v>4321203</v>
      </c>
      <c r="B250" s="6">
        <v>4321201</v>
      </c>
      <c r="C250" s="6" t="s">
        <v>558</v>
      </c>
      <c r="D250" s="6" t="s">
        <v>559</v>
      </c>
      <c r="E250" s="6">
        <v>4321201</v>
      </c>
      <c r="F250" s="6">
        <v>2</v>
      </c>
      <c r="G250" s="6">
        <v>3</v>
      </c>
      <c r="H250" s="6" t="s">
        <v>563</v>
      </c>
      <c r="I250" s="6">
        <v>6</v>
      </c>
      <c r="J250" s="3" t="s">
        <v>565</v>
      </c>
      <c r="K250" s="6">
        <v>3</v>
      </c>
      <c r="L250" s="6">
        <v>350</v>
      </c>
      <c r="M250" s="6">
        <v>2</v>
      </c>
      <c r="N250" s="6">
        <v>1</v>
      </c>
      <c r="O250" s="6">
        <v>0</v>
      </c>
      <c r="P250" s="6">
        <v>10</v>
      </c>
      <c r="Q250" s="6">
        <v>4321201</v>
      </c>
      <c r="U250" s="6">
        <v>0</v>
      </c>
      <c r="V250" s="6">
        <v>10000</v>
      </c>
      <c r="W250" s="6">
        <v>0</v>
      </c>
      <c r="X250" s="6">
        <v>530</v>
      </c>
      <c r="Y250" s="6">
        <v>600</v>
      </c>
      <c r="Z250" s="6">
        <f t="shared" si="17"/>
        <v>650</v>
      </c>
      <c r="AA250" s="6">
        <v>-1</v>
      </c>
      <c r="AB250" s="6" t="s">
        <v>133</v>
      </c>
      <c r="AC250" s="6">
        <v>1</v>
      </c>
      <c r="AD250" s="6">
        <v>1</v>
      </c>
      <c r="AE250" s="17" t="s">
        <v>562</v>
      </c>
      <c r="AF250" s="41"/>
      <c r="AH250" s="6">
        <v>0</v>
      </c>
      <c r="AI250" s="6">
        <v>0</v>
      </c>
      <c r="AJ250" s="6">
        <v>0</v>
      </c>
      <c r="AK250" s="6">
        <v>0</v>
      </c>
    </row>
    <row r="251" s="6" customFormat="1" spans="1:37">
      <c r="A251" s="6">
        <v>4321301</v>
      </c>
      <c r="B251" s="6">
        <v>4321301</v>
      </c>
      <c r="C251" s="6" t="s">
        <v>566</v>
      </c>
      <c r="D251" s="6" t="s">
        <v>567</v>
      </c>
      <c r="E251" s="6">
        <v>4321301</v>
      </c>
      <c r="F251" s="6">
        <v>2</v>
      </c>
      <c r="G251" s="6">
        <v>1</v>
      </c>
      <c r="H251" s="6" t="s">
        <v>568</v>
      </c>
      <c r="I251" s="6">
        <v>2</v>
      </c>
      <c r="K251" s="6">
        <v>3</v>
      </c>
      <c r="L251" s="6">
        <v>350</v>
      </c>
      <c r="M251" s="6">
        <v>3</v>
      </c>
      <c r="N251" s="6">
        <v>3</v>
      </c>
      <c r="O251" s="6" t="s">
        <v>157</v>
      </c>
      <c r="P251" s="6">
        <v>10</v>
      </c>
      <c r="Q251" s="6">
        <v>4321301</v>
      </c>
      <c r="U251" s="6">
        <v>0</v>
      </c>
      <c r="V251" s="6">
        <v>15000</v>
      </c>
      <c r="W251" s="6">
        <v>0</v>
      </c>
      <c r="X251" s="6">
        <v>600</v>
      </c>
      <c r="Y251" s="6">
        <v>800</v>
      </c>
      <c r="Z251" s="6">
        <f t="shared" si="17"/>
        <v>850</v>
      </c>
      <c r="AA251" s="6">
        <v>14200</v>
      </c>
      <c r="AC251" s="6">
        <v>1</v>
      </c>
      <c r="AD251" s="6">
        <v>1</v>
      </c>
      <c r="AE251" s="17" t="s">
        <v>562</v>
      </c>
      <c r="AF251" s="41"/>
      <c r="AH251" s="6">
        <v>0</v>
      </c>
      <c r="AI251" s="6">
        <v>0</v>
      </c>
      <c r="AJ251" s="6">
        <v>0</v>
      </c>
      <c r="AK251" s="6">
        <v>0</v>
      </c>
    </row>
    <row r="252" s="6" customFormat="1" spans="1:37">
      <c r="A252" s="6">
        <v>4321302</v>
      </c>
      <c r="B252" s="6">
        <v>4321301</v>
      </c>
      <c r="C252" s="6" t="s">
        <v>566</v>
      </c>
      <c r="D252" s="6" t="s">
        <v>567</v>
      </c>
      <c r="E252" s="6">
        <v>4321301</v>
      </c>
      <c r="F252" s="6">
        <v>2</v>
      </c>
      <c r="G252" s="6">
        <v>2</v>
      </c>
      <c r="H252" s="6" t="s">
        <v>125</v>
      </c>
      <c r="I252" s="6">
        <v>2</v>
      </c>
      <c r="K252" s="6">
        <v>3</v>
      </c>
      <c r="L252" s="6">
        <v>350</v>
      </c>
      <c r="M252" s="6">
        <v>3</v>
      </c>
      <c r="N252" s="6">
        <v>3</v>
      </c>
      <c r="O252" s="6" t="s">
        <v>157</v>
      </c>
      <c r="P252" s="6">
        <v>10</v>
      </c>
      <c r="Q252" s="6">
        <v>4321301</v>
      </c>
      <c r="U252" s="6">
        <v>0</v>
      </c>
      <c r="V252" s="6">
        <v>12000</v>
      </c>
      <c r="W252" s="6">
        <v>0</v>
      </c>
      <c r="X252" s="6">
        <v>600</v>
      </c>
      <c r="Y252" s="6">
        <v>800</v>
      </c>
      <c r="Z252" s="6">
        <f t="shared" si="17"/>
        <v>850</v>
      </c>
      <c r="AA252" s="6">
        <v>11200</v>
      </c>
      <c r="AC252" s="6">
        <v>1</v>
      </c>
      <c r="AD252" s="6">
        <v>1</v>
      </c>
      <c r="AE252" s="17" t="s">
        <v>562</v>
      </c>
      <c r="AF252" s="41"/>
      <c r="AH252" s="6">
        <v>0</v>
      </c>
      <c r="AI252" s="6">
        <v>0</v>
      </c>
      <c r="AJ252" s="6">
        <v>0</v>
      </c>
      <c r="AK252" s="6">
        <v>0</v>
      </c>
    </row>
    <row r="253" s="6" customFormat="1" spans="1:37">
      <c r="A253" s="6">
        <v>4321303</v>
      </c>
      <c r="B253" s="6">
        <v>4321301</v>
      </c>
      <c r="C253" s="6" t="s">
        <v>566</v>
      </c>
      <c r="D253" s="6" t="s">
        <v>567</v>
      </c>
      <c r="E253" s="6">
        <v>4321301</v>
      </c>
      <c r="F253" s="6">
        <v>2</v>
      </c>
      <c r="G253" s="6">
        <v>3</v>
      </c>
      <c r="H253" s="6" t="s">
        <v>569</v>
      </c>
      <c r="I253" s="6">
        <v>2</v>
      </c>
      <c r="K253" s="6">
        <v>3</v>
      </c>
      <c r="L253" s="6">
        <v>350</v>
      </c>
      <c r="M253" s="6">
        <v>3</v>
      </c>
      <c r="N253" s="6">
        <v>3</v>
      </c>
      <c r="O253" s="6" t="s">
        <v>157</v>
      </c>
      <c r="P253" s="6">
        <v>10</v>
      </c>
      <c r="Q253" s="6">
        <v>4321301</v>
      </c>
      <c r="U253" s="6">
        <v>0</v>
      </c>
      <c r="V253" s="6">
        <v>12000</v>
      </c>
      <c r="W253" s="6">
        <v>0</v>
      </c>
      <c r="X253" s="6">
        <v>600</v>
      </c>
      <c r="Y253" s="6">
        <v>800</v>
      </c>
      <c r="Z253" s="6">
        <f t="shared" si="17"/>
        <v>850</v>
      </c>
      <c r="AA253" s="6">
        <v>11200</v>
      </c>
      <c r="AC253" s="6">
        <v>1</v>
      </c>
      <c r="AD253" s="6">
        <v>1</v>
      </c>
      <c r="AE253" s="17" t="s">
        <v>570</v>
      </c>
      <c r="AF253" s="41"/>
      <c r="AH253" s="6">
        <v>0</v>
      </c>
      <c r="AI253" s="6">
        <v>0</v>
      </c>
      <c r="AJ253" s="6">
        <v>0</v>
      </c>
      <c r="AK253" s="6">
        <v>0</v>
      </c>
    </row>
    <row r="254" s="3" customFormat="1" spans="1:37">
      <c r="A254" s="3">
        <v>4201101</v>
      </c>
      <c r="B254" s="3">
        <v>4201101</v>
      </c>
      <c r="C254" s="3" t="s">
        <v>87</v>
      </c>
      <c r="D254" s="3" t="s">
        <v>571</v>
      </c>
      <c r="F254" s="3">
        <v>1</v>
      </c>
      <c r="G254" s="3">
        <v>1</v>
      </c>
      <c r="I254" s="3">
        <v>1</v>
      </c>
      <c r="K254" s="3">
        <v>3</v>
      </c>
      <c r="L254" s="3">
        <v>65</v>
      </c>
      <c r="M254" s="3">
        <v>1</v>
      </c>
      <c r="N254" s="3">
        <v>1</v>
      </c>
      <c r="O254" s="3">
        <v>0</v>
      </c>
      <c r="P254" s="3">
        <v>1</v>
      </c>
      <c r="Q254" s="3">
        <v>4201101</v>
      </c>
      <c r="U254" s="9">
        <v>0</v>
      </c>
      <c r="V254" s="3">
        <v>10000</v>
      </c>
      <c r="W254" s="3">
        <f>X254-100</f>
        <v>540</v>
      </c>
      <c r="X254" s="3">
        <v>640</v>
      </c>
      <c r="Y254" s="3">
        <v>880</v>
      </c>
      <c r="Z254" s="3">
        <f t="shared" si="17"/>
        <v>930</v>
      </c>
      <c r="AA254" s="3">
        <f>1000-Z254</f>
        <v>70</v>
      </c>
      <c r="AC254" s="3">
        <v>1</v>
      </c>
      <c r="AD254" s="3">
        <v>0</v>
      </c>
      <c r="AF254" s="41"/>
      <c r="AH254" s="3">
        <v>0</v>
      </c>
      <c r="AI254" s="3">
        <v>0</v>
      </c>
      <c r="AJ254" s="3">
        <v>0</v>
      </c>
      <c r="AK254" s="9">
        <v>0</v>
      </c>
    </row>
    <row r="255" s="17" customFormat="1" spans="1:37">
      <c r="A255" s="17">
        <v>4201201</v>
      </c>
      <c r="B255" s="17">
        <v>4201201</v>
      </c>
      <c r="C255" s="17" t="s">
        <v>572</v>
      </c>
      <c r="D255" s="17" t="s">
        <v>573</v>
      </c>
      <c r="E255" s="59">
        <v>4201201</v>
      </c>
      <c r="F255" s="17">
        <v>2</v>
      </c>
      <c r="G255" s="17">
        <v>1</v>
      </c>
      <c r="H255" s="17" t="s">
        <v>574</v>
      </c>
      <c r="I255" s="17">
        <v>2</v>
      </c>
      <c r="K255" s="17">
        <v>3</v>
      </c>
      <c r="L255" s="17">
        <v>100</v>
      </c>
      <c r="M255" s="17">
        <v>2</v>
      </c>
      <c r="N255" s="17">
        <v>1</v>
      </c>
      <c r="O255" s="17">
        <v>0</v>
      </c>
      <c r="P255" s="17">
        <v>1</v>
      </c>
      <c r="Q255" s="17">
        <v>4201201</v>
      </c>
      <c r="U255" s="59">
        <v>0</v>
      </c>
      <c r="V255" s="17">
        <v>20000</v>
      </c>
      <c r="W255" s="17">
        <f t="shared" ref="W255:W260" si="20">X255-100</f>
        <v>700</v>
      </c>
      <c r="X255" s="17">
        <v>800</v>
      </c>
      <c r="Y255" s="17">
        <v>1000</v>
      </c>
      <c r="Z255" s="17">
        <f t="shared" ref="Z255:Z260" si="21">Y255+50</f>
        <v>1050</v>
      </c>
      <c r="AA255" s="17">
        <v>-1</v>
      </c>
      <c r="AB255" s="60" t="s">
        <v>133</v>
      </c>
      <c r="AC255" s="60">
        <v>1</v>
      </c>
      <c r="AD255" s="3">
        <v>0</v>
      </c>
      <c r="AF255" s="41"/>
      <c r="AH255" s="6">
        <v>0</v>
      </c>
      <c r="AI255" s="6">
        <v>0</v>
      </c>
      <c r="AJ255" s="17">
        <v>0</v>
      </c>
      <c r="AK255" s="17">
        <v>0</v>
      </c>
    </row>
    <row r="256" s="17" customFormat="1" spans="1:37">
      <c r="A256" s="17">
        <v>4201202</v>
      </c>
      <c r="B256" s="17">
        <v>4201201</v>
      </c>
      <c r="C256" s="17" t="s">
        <v>572</v>
      </c>
      <c r="D256" s="17" t="s">
        <v>573</v>
      </c>
      <c r="E256" s="59">
        <v>4201201</v>
      </c>
      <c r="F256" s="17">
        <v>2</v>
      </c>
      <c r="G256" s="17">
        <v>2</v>
      </c>
      <c r="H256" s="17" t="s">
        <v>138</v>
      </c>
      <c r="I256" s="17">
        <v>2</v>
      </c>
      <c r="K256" s="17">
        <v>3</v>
      </c>
      <c r="L256" s="17">
        <v>100</v>
      </c>
      <c r="M256" s="17">
        <v>2</v>
      </c>
      <c r="N256" s="17">
        <v>1</v>
      </c>
      <c r="O256" s="17">
        <v>0</v>
      </c>
      <c r="P256" s="17">
        <v>1</v>
      </c>
      <c r="Q256" s="17">
        <v>4201201</v>
      </c>
      <c r="U256" s="59">
        <v>0</v>
      </c>
      <c r="V256" s="17">
        <v>30000</v>
      </c>
      <c r="W256" s="17">
        <f t="shared" si="20"/>
        <v>700</v>
      </c>
      <c r="X256" s="17">
        <v>800</v>
      </c>
      <c r="Y256" s="17">
        <v>1000</v>
      </c>
      <c r="Z256" s="17">
        <f t="shared" si="21"/>
        <v>1050</v>
      </c>
      <c r="AA256" s="17">
        <v>-1</v>
      </c>
      <c r="AB256" s="60" t="s">
        <v>133</v>
      </c>
      <c r="AC256" s="60">
        <v>1</v>
      </c>
      <c r="AD256" s="3">
        <v>0</v>
      </c>
      <c r="AF256" s="41"/>
      <c r="AH256" s="6">
        <v>0</v>
      </c>
      <c r="AI256" s="6">
        <v>0</v>
      </c>
      <c r="AJ256" s="17">
        <v>0</v>
      </c>
      <c r="AK256" s="59">
        <v>0</v>
      </c>
    </row>
    <row r="257" s="17" customFormat="1" spans="1:37">
      <c r="A257" s="17">
        <v>4201203</v>
      </c>
      <c r="B257" s="17">
        <v>4201201</v>
      </c>
      <c r="C257" s="17" t="s">
        <v>572</v>
      </c>
      <c r="D257" s="17" t="s">
        <v>573</v>
      </c>
      <c r="E257" s="59">
        <v>4201201</v>
      </c>
      <c r="F257" s="17">
        <v>2</v>
      </c>
      <c r="G257" s="17">
        <v>3</v>
      </c>
      <c r="H257" s="17" t="s">
        <v>138</v>
      </c>
      <c r="I257" s="17">
        <v>2</v>
      </c>
      <c r="K257" s="17">
        <v>3</v>
      </c>
      <c r="L257" s="17">
        <v>100</v>
      </c>
      <c r="M257" s="17">
        <v>2</v>
      </c>
      <c r="N257" s="17">
        <v>1</v>
      </c>
      <c r="O257" s="17">
        <v>0</v>
      </c>
      <c r="P257" s="17">
        <v>1</v>
      </c>
      <c r="Q257" s="17">
        <v>4201201</v>
      </c>
      <c r="U257" s="59">
        <v>0</v>
      </c>
      <c r="V257" s="17">
        <v>40000</v>
      </c>
      <c r="W257" s="17">
        <f t="shared" si="20"/>
        <v>700</v>
      </c>
      <c r="X257" s="17">
        <v>800</v>
      </c>
      <c r="Y257" s="17">
        <v>1000</v>
      </c>
      <c r="Z257" s="17">
        <f t="shared" si="21"/>
        <v>1050</v>
      </c>
      <c r="AA257" s="17">
        <v>-1</v>
      </c>
      <c r="AB257" s="60" t="s">
        <v>133</v>
      </c>
      <c r="AC257" s="60">
        <v>1</v>
      </c>
      <c r="AD257" s="3">
        <v>0</v>
      </c>
      <c r="AF257" s="41"/>
      <c r="AH257" s="6">
        <v>0</v>
      </c>
      <c r="AI257" s="6">
        <v>0</v>
      </c>
      <c r="AJ257" s="17">
        <v>0</v>
      </c>
      <c r="AK257" s="17">
        <v>0</v>
      </c>
    </row>
    <row r="258" s="17" customFormat="1" spans="1:37">
      <c r="A258" s="17">
        <v>4201301</v>
      </c>
      <c r="B258" s="17">
        <v>4201301</v>
      </c>
      <c r="C258" s="17" t="s">
        <v>575</v>
      </c>
      <c r="D258" s="17" t="s">
        <v>576</v>
      </c>
      <c r="E258" s="59">
        <v>4201301</v>
      </c>
      <c r="F258" s="17">
        <v>2</v>
      </c>
      <c r="G258" s="17">
        <v>1</v>
      </c>
      <c r="H258" s="17" t="s">
        <v>577</v>
      </c>
      <c r="I258" s="17">
        <v>4</v>
      </c>
      <c r="K258" s="17">
        <v>2</v>
      </c>
      <c r="L258" s="17">
        <v>100</v>
      </c>
      <c r="M258" s="17">
        <v>3</v>
      </c>
      <c r="N258" s="17">
        <v>2</v>
      </c>
      <c r="O258" s="17" t="s">
        <v>100</v>
      </c>
      <c r="P258" s="17">
        <v>3</v>
      </c>
      <c r="Q258" s="17">
        <v>4201301</v>
      </c>
      <c r="U258" s="59">
        <v>0</v>
      </c>
      <c r="V258" s="17">
        <v>0</v>
      </c>
      <c r="W258" s="17">
        <f t="shared" si="20"/>
        <v>430</v>
      </c>
      <c r="X258" s="17">
        <v>530</v>
      </c>
      <c r="Y258" s="17">
        <v>1070</v>
      </c>
      <c r="Z258" s="17">
        <f t="shared" si="21"/>
        <v>1120</v>
      </c>
      <c r="AA258" s="17">
        <v>15000</v>
      </c>
      <c r="AC258" s="17">
        <v>2</v>
      </c>
      <c r="AD258" s="17">
        <v>1</v>
      </c>
      <c r="AE258" s="17" t="s">
        <v>578</v>
      </c>
      <c r="AF258" s="41"/>
      <c r="AH258" s="6">
        <v>0</v>
      </c>
      <c r="AI258" s="6">
        <v>0</v>
      </c>
      <c r="AJ258" s="17">
        <v>0</v>
      </c>
      <c r="AK258" s="59">
        <v>0</v>
      </c>
    </row>
    <row r="259" s="17" customFormat="1" spans="1:37">
      <c r="A259" s="17">
        <v>4201302</v>
      </c>
      <c r="B259" s="17">
        <v>4201301</v>
      </c>
      <c r="C259" s="17" t="s">
        <v>575</v>
      </c>
      <c r="D259" s="17" t="s">
        <v>576</v>
      </c>
      <c r="E259" s="59">
        <v>4201301</v>
      </c>
      <c r="F259" s="17">
        <v>2</v>
      </c>
      <c r="G259" s="17">
        <v>2</v>
      </c>
      <c r="H259" s="17" t="s">
        <v>579</v>
      </c>
      <c r="I259" s="17">
        <v>4</v>
      </c>
      <c r="K259" s="17">
        <v>2</v>
      </c>
      <c r="L259" s="17">
        <v>100</v>
      </c>
      <c r="M259" s="17">
        <v>3</v>
      </c>
      <c r="N259" s="17">
        <v>2</v>
      </c>
      <c r="O259" s="17" t="s">
        <v>100</v>
      </c>
      <c r="P259" s="17">
        <v>3</v>
      </c>
      <c r="Q259" s="17">
        <v>4201301</v>
      </c>
      <c r="U259" s="59">
        <v>0</v>
      </c>
      <c r="V259" s="17">
        <v>0</v>
      </c>
      <c r="W259" s="17">
        <f t="shared" si="20"/>
        <v>430</v>
      </c>
      <c r="X259" s="17">
        <v>530</v>
      </c>
      <c r="Y259" s="17">
        <v>1070</v>
      </c>
      <c r="Z259" s="17">
        <f t="shared" si="21"/>
        <v>1120</v>
      </c>
      <c r="AA259" s="17">
        <v>15000</v>
      </c>
      <c r="AC259" s="17">
        <v>2</v>
      </c>
      <c r="AD259" s="17">
        <v>1</v>
      </c>
      <c r="AE259" s="17" t="s">
        <v>578</v>
      </c>
      <c r="AF259" s="41"/>
      <c r="AH259" s="6">
        <v>0</v>
      </c>
      <c r="AI259" s="6">
        <v>0</v>
      </c>
      <c r="AJ259" s="17">
        <v>0</v>
      </c>
      <c r="AK259" s="17">
        <v>0</v>
      </c>
    </row>
    <row r="260" s="17" customFormat="1" spans="1:37">
      <c r="A260" s="17">
        <v>4201303</v>
      </c>
      <c r="B260" s="17">
        <v>4201301</v>
      </c>
      <c r="C260" s="17" t="s">
        <v>575</v>
      </c>
      <c r="D260" s="17" t="s">
        <v>576</v>
      </c>
      <c r="E260" s="59">
        <v>4201301</v>
      </c>
      <c r="F260" s="17">
        <v>2</v>
      </c>
      <c r="G260" s="17">
        <v>3</v>
      </c>
      <c r="H260" s="17" t="s">
        <v>580</v>
      </c>
      <c r="I260" s="17">
        <v>4</v>
      </c>
      <c r="K260" s="17">
        <v>2</v>
      </c>
      <c r="L260" s="17">
        <v>100</v>
      </c>
      <c r="M260" s="17">
        <v>3</v>
      </c>
      <c r="N260" s="17">
        <v>2</v>
      </c>
      <c r="O260" s="17" t="s">
        <v>100</v>
      </c>
      <c r="P260" s="17">
        <v>5</v>
      </c>
      <c r="Q260" s="17">
        <v>4201301</v>
      </c>
      <c r="U260" s="59">
        <v>0</v>
      </c>
      <c r="V260" s="17">
        <v>0</v>
      </c>
      <c r="W260" s="17">
        <f t="shared" si="20"/>
        <v>430</v>
      </c>
      <c r="X260" s="17">
        <v>530</v>
      </c>
      <c r="Y260" s="17">
        <v>1070</v>
      </c>
      <c r="Z260" s="17">
        <f t="shared" si="21"/>
        <v>1120</v>
      </c>
      <c r="AA260" s="17">
        <v>15000</v>
      </c>
      <c r="AC260" s="17">
        <v>2</v>
      </c>
      <c r="AD260" s="17">
        <v>1</v>
      </c>
      <c r="AE260" s="17" t="s">
        <v>578</v>
      </c>
      <c r="AF260" s="41"/>
      <c r="AH260" s="6">
        <v>0</v>
      </c>
      <c r="AI260" s="6">
        <v>0</v>
      </c>
      <c r="AJ260" s="17">
        <v>0</v>
      </c>
      <c r="AK260" s="59">
        <v>0</v>
      </c>
    </row>
    <row r="261" s="6" customFormat="1" spans="1:37">
      <c r="A261" s="6">
        <v>4202101</v>
      </c>
      <c r="B261" s="6">
        <v>4202101</v>
      </c>
      <c r="C261" s="6" t="s">
        <v>87</v>
      </c>
      <c r="D261" s="6" t="s">
        <v>581</v>
      </c>
      <c r="F261" s="6">
        <v>1</v>
      </c>
      <c r="G261" s="6">
        <v>1</v>
      </c>
      <c r="I261" s="6">
        <v>1</v>
      </c>
      <c r="K261" s="6">
        <v>3</v>
      </c>
      <c r="L261" s="6">
        <v>100</v>
      </c>
      <c r="M261" s="6">
        <v>1</v>
      </c>
      <c r="N261" s="6">
        <v>1</v>
      </c>
      <c r="O261" s="6">
        <v>0</v>
      </c>
      <c r="P261" s="6">
        <v>1</v>
      </c>
      <c r="Q261" s="6">
        <v>4202101</v>
      </c>
      <c r="U261" s="6">
        <v>0</v>
      </c>
      <c r="V261" s="6">
        <v>10000</v>
      </c>
      <c r="W261" s="6">
        <v>0</v>
      </c>
      <c r="X261" s="6">
        <v>470</v>
      </c>
      <c r="Y261" s="6">
        <v>730</v>
      </c>
      <c r="Z261" s="6">
        <v>780</v>
      </c>
      <c r="AA261" s="6">
        <v>450</v>
      </c>
      <c r="AC261" s="6">
        <v>1</v>
      </c>
      <c r="AD261" s="3">
        <v>0</v>
      </c>
      <c r="AF261" s="41"/>
      <c r="AH261" s="6">
        <v>0</v>
      </c>
      <c r="AI261" s="6">
        <v>0</v>
      </c>
      <c r="AJ261" s="6">
        <v>0</v>
      </c>
      <c r="AK261" s="6">
        <v>0</v>
      </c>
    </row>
    <row r="262" s="6" customFormat="1" spans="1:37">
      <c r="A262" s="6">
        <v>4202201</v>
      </c>
      <c r="B262" s="6">
        <v>4202201</v>
      </c>
      <c r="C262" s="6" t="s">
        <v>582</v>
      </c>
      <c r="D262" s="6" t="s">
        <v>583</v>
      </c>
      <c r="E262" s="6">
        <v>4202201</v>
      </c>
      <c r="F262" s="6">
        <v>2</v>
      </c>
      <c r="G262" s="6">
        <v>1</v>
      </c>
      <c r="H262" s="6" t="s">
        <v>584</v>
      </c>
      <c r="I262" s="6">
        <v>2</v>
      </c>
      <c r="K262" s="6">
        <v>3</v>
      </c>
      <c r="L262" s="6">
        <v>100</v>
      </c>
      <c r="M262" s="6">
        <v>2</v>
      </c>
      <c r="N262" s="6">
        <v>1</v>
      </c>
      <c r="O262" s="6">
        <v>0</v>
      </c>
      <c r="P262" s="6">
        <v>1</v>
      </c>
      <c r="Q262" s="6">
        <v>4202201</v>
      </c>
      <c r="U262" s="6">
        <v>0</v>
      </c>
      <c r="V262" s="6">
        <v>20000</v>
      </c>
      <c r="W262" s="6">
        <v>0</v>
      </c>
      <c r="X262" s="6">
        <v>330</v>
      </c>
      <c r="Y262" s="6">
        <v>530</v>
      </c>
      <c r="Z262" s="6">
        <v>580</v>
      </c>
      <c r="AA262" s="6">
        <v>-1</v>
      </c>
      <c r="AB262" s="6" t="s">
        <v>166</v>
      </c>
      <c r="AC262" s="6">
        <v>1</v>
      </c>
      <c r="AD262" s="6">
        <v>1</v>
      </c>
      <c r="AE262" s="17" t="s">
        <v>585</v>
      </c>
      <c r="AF262" s="41"/>
      <c r="AH262" s="6">
        <v>0</v>
      </c>
      <c r="AI262" s="6">
        <v>0</v>
      </c>
      <c r="AJ262" s="6">
        <v>0</v>
      </c>
      <c r="AK262" s="6">
        <v>0</v>
      </c>
    </row>
    <row r="263" s="6" customFormat="1" spans="1:37">
      <c r="A263" s="6">
        <v>4202202</v>
      </c>
      <c r="B263" s="6">
        <v>4202201</v>
      </c>
      <c r="C263" s="6" t="s">
        <v>582</v>
      </c>
      <c r="D263" s="6" t="s">
        <v>583</v>
      </c>
      <c r="E263" s="6">
        <v>4202201</v>
      </c>
      <c r="F263" s="6">
        <v>2</v>
      </c>
      <c r="G263" s="6">
        <v>2</v>
      </c>
      <c r="H263" s="6" t="s">
        <v>586</v>
      </c>
      <c r="I263" s="6">
        <v>2</v>
      </c>
      <c r="K263" s="6">
        <v>3</v>
      </c>
      <c r="L263" s="6">
        <v>100</v>
      </c>
      <c r="M263" s="6">
        <v>2</v>
      </c>
      <c r="N263" s="6">
        <v>1</v>
      </c>
      <c r="O263" s="6">
        <v>0</v>
      </c>
      <c r="P263" s="6">
        <v>1</v>
      </c>
      <c r="Q263" s="6">
        <v>4202201</v>
      </c>
      <c r="U263" s="6">
        <v>0</v>
      </c>
      <c r="V263" s="6">
        <v>20000</v>
      </c>
      <c r="W263" s="6">
        <v>0</v>
      </c>
      <c r="X263" s="6">
        <v>330</v>
      </c>
      <c r="Y263" s="6">
        <v>530</v>
      </c>
      <c r="Z263" s="6">
        <v>580</v>
      </c>
      <c r="AA263" s="6">
        <v>-1</v>
      </c>
      <c r="AB263" s="6" t="s">
        <v>166</v>
      </c>
      <c r="AC263" s="6">
        <v>1</v>
      </c>
      <c r="AD263" s="3">
        <v>0</v>
      </c>
      <c r="AF263" s="41"/>
      <c r="AH263" s="6">
        <v>0</v>
      </c>
      <c r="AI263" s="6">
        <v>0</v>
      </c>
      <c r="AJ263" s="6">
        <v>0</v>
      </c>
      <c r="AK263" s="6">
        <v>0</v>
      </c>
    </row>
    <row r="264" s="6" customFormat="1" spans="1:37">
      <c r="A264" s="6">
        <v>4202203</v>
      </c>
      <c r="B264" s="6">
        <v>4202201</v>
      </c>
      <c r="C264" s="6" t="s">
        <v>582</v>
      </c>
      <c r="D264" s="6" t="s">
        <v>583</v>
      </c>
      <c r="E264" s="6">
        <v>4202201</v>
      </c>
      <c r="F264" s="6">
        <v>2</v>
      </c>
      <c r="G264" s="6">
        <v>3</v>
      </c>
      <c r="H264" s="6" t="s">
        <v>587</v>
      </c>
      <c r="I264" s="6">
        <v>2</v>
      </c>
      <c r="K264" s="6">
        <v>3</v>
      </c>
      <c r="L264" s="6">
        <v>100</v>
      </c>
      <c r="M264" s="6">
        <v>2</v>
      </c>
      <c r="N264" s="6">
        <v>1</v>
      </c>
      <c r="O264" s="6">
        <v>0</v>
      </c>
      <c r="P264" s="6">
        <v>1</v>
      </c>
      <c r="Q264" s="6">
        <v>4202201</v>
      </c>
      <c r="U264" s="6">
        <v>0</v>
      </c>
      <c r="V264" s="6">
        <v>20000</v>
      </c>
      <c r="W264" s="6">
        <v>0</v>
      </c>
      <c r="X264" s="6">
        <v>330</v>
      </c>
      <c r="Y264" s="6">
        <v>530</v>
      </c>
      <c r="Z264" s="6">
        <v>580</v>
      </c>
      <c r="AA264" s="6">
        <v>-1</v>
      </c>
      <c r="AB264" s="6" t="s">
        <v>166</v>
      </c>
      <c r="AC264" s="6">
        <v>1</v>
      </c>
      <c r="AD264" s="3">
        <v>0</v>
      </c>
      <c r="AF264" s="41"/>
      <c r="AH264" s="6">
        <v>0</v>
      </c>
      <c r="AI264" s="6">
        <v>0</v>
      </c>
      <c r="AJ264" s="6">
        <v>0</v>
      </c>
      <c r="AK264" s="6">
        <v>0</v>
      </c>
    </row>
    <row r="265" s="6" customFormat="1" spans="1:37">
      <c r="A265" s="6">
        <v>4202301</v>
      </c>
      <c r="B265" s="6">
        <v>4202301</v>
      </c>
      <c r="C265" s="6" t="s">
        <v>588</v>
      </c>
      <c r="D265" s="6" t="s">
        <v>589</v>
      </c>
      <c r="E265" s="6">
        <v>4202301</v>
      </c>
      <c r="F265" s="6">
        <v>2</v>
      </c>
      <c r="G265" s="6">
        <v>1</v>
      </c>
      <c r="H265" s="6" t="s">
        <v>590</v>
      </c>
      <c r="I265" s="6">
        <v>2</v>
      </c>
      <c r="K265" s="6">
        <v>1</v>
      </c>
      <c r="L265" s="6">
        <v>100</v>
      </c>
      <c r="M265" s="6">
        <v>3</v>
      </c>
      <c r="N265" s="6">
        <v>1</v>
      </c>
      <c r="O265" s="6">
        <v>0</v>
      </c>
      <c r="P265" s="6">
        <v>1</v>
      </c>
      <c r="Q265" s="6">
        <v>4202301</v>
      </c>
      <c r="U265" s="6">
        <v>0</v>
      </c>
      <c r="V265" s="6">
        <v>0</v>
      </c>
      <c r="W265" s="6">
        <v>0</v>
      </c>
      <c r="X265" s="6">
        <v>470</v>
      </c>
      <c r="Y265" s="6">
        <v>730</v>
      </c>
      <c r="Z265" s="6">
        <v>780</v>
      </c>
      <c r="AA265" s="6">
        <v>14270</v>
      </c>
      <c r="AC265" s="6">
        <v>1</v>
      </c>
      <c r="AD265" s="6">
        <v>1</v>
      </c>
      <c r="AE265" s="17" t="s">
        <v>591</v>
      </c>
      <c r="AF265" s="41"/>
      <c r="AH265" s="6">
        <v>0</v>
      </c>
      <c r="AI265" s="6">
        <v>0</v>
      </c>
      <c r="AJ265" s="6">
        <v>0</v>
      </c>
      <c r="AK265" s="6">
        <v>0</v>
      </c>
    </row>
    <row r="266" s="6" customFormat="1" spans="1:37">
      <c r="A266" s="6">
        <v>4202302</v>
      </c>
      <c r="B266" s="6">
        <v>4202301</v>
      </c>
      <c r="C266" s="6" t="s">
        <v>588</v>
      </c>
      <c r="D266" s="6" t="s">
        <v>589</v>
      </c>
      <c r="E266" s="6">
        <v>4202301</v>
      </c>
      <c r="F266" s="6">
        <v>2</v>
      </c>
      <c r="G266" s="6">
        <v>2</v>
      </c>
      <c r="H266" s="6" t="s">
        <v>592</v>
      </c>
      <c r="I266" s="6">
        <v>2</v>
      </c>
      <c r="K266" s="6">
        <v>1</v>
      </c>
      <c r="L266" s="6">
        <v>100</v>
      </c>
      <c r="M266" s="6">
        <v>3</v>
      </c>
      <c r="N266" s="6">
        <v>1</v>
      </c>
      <c r="O266" s="6">
        <v>0</v>
      </c>
      <c r="P266" s="6">
        <v>1</v>
      </c>
      <c r="Q266" s="6">
        <v>4202301</v>
      </c>
      <c r="U266" s="6">
        <v>0</v>
      </c>
      <c r="V266" s="6">
        <v>0</v>
      </c>
      <c r="W266" s="6">
        <v>0</v>
      </c>
      <c r="X266" s="6">
        <v>470</v>
      </c>
      <c r="Y266" s="6">
        <v>730</v>
      </c>
      <c r="Z266" s="6">
        <v>780</v>
      </c>
      <c r="AA266" s="6">
        <v>14270</v>
      </c>
      <c r="AC266" s="6">
        <v>1</v>
      </c>
      <c r="AD266" s="6">
        <v>1</v>
      </c>
      <c r="AE266" s="17" t="s">
        <v>593</v>
      </c>
      <c r="AF266" s="41"/>
      <c r="AH266" s="6">
        <v>0</v>
      </c>
      <c r="AI266" s="6">
        <v>0</v>
      </c>
      <c r="AJ266" s="6">
        <v>0</v>
      </c>
      <c r="AK266" s="6">
        <v>0</v>
      </c>
    </row>
    <row r="267" s="6" customFormat="1" spans="1:37">
      <c r="A267" s="6">
        <v>4202303</v>
      </c>
      <c r="B267" s="6">
        <v>4202301</v>
      </c>
      <c r="C267" s="6" t="s">
        <v>588</v>
      </c>
      <c r="D267" s="6" t="s">
        <v>589</v>
      </c>
      <c r="E267" s="6">
        <v>4202301</v>
      </c>
      <c r="F267" s="6">
        <v>2</v>
      </c>
      <c r="G267" s="6">
        <v>3</v>
      </c>
      <c r="H267" s="6" t="s">
        <v>594</v>
      </c>
      <c r="I267" s="6">
        <v>2</v>
      </c>
      <c r="K267" s="6">
        <v>2</v>
      </c>
      <c r="L267" s="6">
        <v>100</v>
      </c>
      <c r="M267" s="6">
        <v>3</v>
      </c>
      <c r="N267" s="6">
        <v>2</v>
      </c>
      <c r="O267" s="6" t="s">
        <v>100</v>
      </c>
      <c r="P267" s="6">
        <v>10</v>
      </c>
      <c r="Q267" s="6">
        <v>4202301</v>
      </c>
      <c r="U267" s="6">
        <v>0</v>
      </c>
      <c r="V267" s="6">
        <v>0</v>
      </c>
      <c r="W267" s="6">
        <v>0</v>
      </c>
      <c r="X267" s="6">
        <v>470</v>
      </c>
      <c r="Y267" s="6">
        <v>730</v>
      </c>
      <c r="Z267" s="6">
        <v>780</v>
      </c>
      <c r="AA267" s="6">
        <v>14270</v>
      </c>
      <c r="AC267" s="6">
        <v>1</v>
      </c>
      <c r="AD267" s="6">
        <v>1</v>
      </c>
      <c r="AE267" s="17" t="s">
        <v>593</v>
      </c>
      <c r="AF267" s="41"/>
      <c r="AH267" s="6">
        <v>0</v>
      </c>
      <c r="AI267" s="6">
        <v>0</v>
      </c>
      <c r="AJ267" s="6">
        <v>0</v>
      </c>
      <c r="AK267" s="6">
        <v>0</v>
      </c>
    </row>
    <row r="268" s="18" customFormat="1" spans="1:37">
      <c r="A268" s="18">
        <v>4203101</v>
      </c>
      <c r="B268" s="18">
        <v>4203101</v>
      </c>
      <c r="C268" s="18" t="s">
        <v>87</v>
      </c>
      <c r="D268" s="18" t="s">
        <v>595</v>
      </c>
      <c r="F268" s="18">
        <v>1</v>
      </c>
      <c r="G268" s="18">
        <v>1</v>
      </c>
      <c r="I268" s="18">
        <v>1</v>
      </c>
      <c r="K268" s="18">
        <v>3</v>
      </c>
      <c r="L268" s="18">
        <v>100</v>
      </c>
      <c r="M268" s="18">
        <v>1</v>
      </c>
      <c r="N268" s="18">
        <v>1</v>
      </c>
      <c r="O268" s="18">
        <v>0</v>
      </c>
      <c r="P268" s="18">
        <v>0</v>
      </c>
      <c r="Q268" s="18">
        <v>4203101</v>
      </c>
      <c r="U268" s="18">
        <v>0</v>
      </c>
      <c r="V268" s="18">
        <v>10000</v>
      </c>
      <c r="W268" s="18">
        <v>0</v>
      </c>
      <c r="X268" s="18">
        <v>670</v>
      </c>
      <c r="Y268" s="18">
        <v>870</v>
      </c>
      <c r="Z268" s="18">
        <v>920</v>
      </c>
      <c r="AA268" s="18">
        <v>450</v>
      </c>
      <c r="AC268" s="18">
        <v>1</v>
      </c>
      <c r="AD268" s="3">
        <v>0</v>
      </c>
      <c r="AF268" s="56"/>
      <c r="AH268" s="6">
        <v>0</v>
      </c>
      <c r="AI268" s="6">
        <v>0</v>
      </c>
      <c r="AJ268" s="18">
        <v>0</v>
      </c>
      <c r="AK268" s="18">
        <v>0</v>
      </c>
    </row>
    <row r="269" s="18" customFormat="1" spans="1:37">
      <c r="A269" s="18">
        <v>4203201</v>
      </c>
      <c r="B269" s="18">
        <v>4203201</v>
      </c>
      <c r="C269" s="18" t="s">
        <v>596</v>
      </c>
      <c r="D269" s="18" t="s">
        <v>597</v>
      </c>
      <c r="E269" s="18">
        <v>4203201</v>
      </c>
      <c r="F269" s="18">
        <v>2</v>
      </c>
      <c r="G269" s="18">
        <v>1</v>
      </c>
      <c r="H269" s="18" t="s">
        <v>598</v>
      </c>
      <c r="I269" s="18">
        <v>2</v>
      </c>
      <c r="K269" s="18">
        <v>3</v>
      </c>
      <c r="L269" s="18">
        <v>100</v>
      </c>
      <c r="M269" s="18">
        <v>2</v>
      </c>
      <c r="N269" s="18">
        <v>3</v>
      </c>
      <c r="O269" s="18" t="s">
        <v>599</v>
      </c>
      <c r="P269" s="18">
        <v>4</v>
      </c>
      <c r="Q269" s="18">
        <v>4203201</v>
      </c>
      <c r="U269" s="18">
        <v>0</v>
      </c>
      <c r="V269" s="18">
        <v>7000</v>
      </c>
      <c r="W269" s="18">
        <v>0</v>
      </c>
      <c r="X269" s="18">
        <v>670</v>
      </c>
      <c r="Y269" s="18">
        <v>870</v>
      </c>
      <c r="Z269" s="18">
        <v>920</v>
      </c>
      <c r="AA269" s="18">
        <v>-1</v>
      </c>
      <c r="AB269" s="18" t="s">
        <v>166</v>
      </c>
      <c r="AC269" s="18">
        <v>1</v>
      </c>
      <c r="AD269" s="3">
        <v>0</v>
      </c>
      <c r="AF269" s="56"/>
      <c r="AH269" s="6">
        <v>0</v>
      </c>
      <c r="AI269" s="6">
        <v>0</v>
      </c>
      <c r="AJ269" s="18">
        <v>0</v>
      </c>
      <c r="AK269" s="18">
        <v>0</v>
      </c>
    </row>
    <row r="270" s="18" customFormat="1" spans="1:37">
      <c r="A270" s="18">
        <v>4203202</v>
      </c>
      <c r="B270" s="18">
        <v>4203201</v>
      </c>
      <c r="C270" s="18" t="s">
        <v>596</v>
      </c>
      <c r="D270" s="18" t="s">
        <v>597</v>
      </c>
      <c r="E270" s="18">
        <v>4203201</v>
      </c>
      <c r="F270" s="18">
        <v>2</v>
      </c>
      <c r="G270" s="18">
        <v>2</v>
      </c>
      <c r="H270" s="18" t="s">
        <v>138</v>
      </c>
      <c r="I270" s="18">
        <v>2</v>
      </c>
      <c r="K270" s="18">
        <v>3</v>
      </c>
      <c r="L270" s="18">
        <v>100</v>
      </c>
      <c r="M270" s="18">
        <v>2</v>
      </c>
      <c r="N270" s="18">
        <v>3</v>
      </c>
      <c r="O270" s="18" t="s">
        <v>599</v>
      </c>
      <c r="P270" s="18">
        <v>4</v>
      </c>
      <c r="Q270" s="18">
        <v>4203201</v>
      </c>
      <c r="U270" s="18">
        <v>0</v>
      </c>
      <c r="V270" s="18">
        <v>8000</v>
      </c>
      <c r="W270" s="18">
        <v>0</v>
      </c>
      <c r="X270" s="18">
        <v>670</v>
      </c>
      <c r="Y270" s="18">
        <v>870</v>
      </c>
      <c r="Z270" s="18">
        <v>920</v>
      </c>
      <c r="AA270" s="18">
        <v>-1</v>
      </c>
      <c r="AB270" s="18" t="s">
        <v>166</v>
      </c>
      <c r="AC270" s="18">
        <v>1</v>
      </c>
      <c r="AD270" s="3">
        <v>0</v>
      </c>
      <c r="AF270" s="56"/>
      <c r="AH270" s="6">
        <v>0</v>
      </c>
      <c r="AI270" s="6">
        <v>0</v>
      </c>
      <c r="AJ270" s="18">
        <v>0</v>
      </c>
      <c r="AK270" s="18">
        <v>0</v>
      </c>
    </row>
    <row r="271" s="18" customFormat="1" spans="1:37">
      <c r="A271" s="18">
        <v>4203203</v>
      </c>
      <c r="B271" s="18">
        <v>4203201</v>
      </c>
      <c r="C271" s="18" t="s">
        <v>596</v>
      </c>
      <c r="D271" s="18" t="s">
        <v>597</v>
      </c>
      <c r="E271" s="18">
        <v>4203201</v>
      </c>
      <c r="F271" s="18">
        <v>2</v>
      </c>
      <c r="G271" s="18">
        <v>3</v>
      </c>
      <c r="H271" s="18" t="s">
        <v>138</v>
      </c>
      <c r="I271" s="18">
        <v>2</v>
      </c>
      <c r="K271" s="18">
        <v>3</v>
      </c>
      <c r="L271" s="18">
        <v>100</v>
      </c>
      <c r="M271" s="18">
        <v>2</v>
      </c>
      <c r="N271" s="18">
        <v>3</v>
      </c>
      <c r="O271" s="18" t="s">
        <v>599</v>
      </c>
      <c r="P271" s="18">
        <v>4</v>
      </c>
      <c r="Q271" s="18">
        <v>4203201</v>
      </c>
      <c r="U271" s="18">
        <v>0</v>
      </c>
      <c r="V271" s="18">
        <v>9000</v>
      </c>
      <c r="W271" s="18">
        <v>0</v>
      </c>
      <c r="X271" s="18">
        <v>670</v>
      </c>
      <c r="Y271" s="18">
        <v>870</v>
      </c>
      <c r="Z271" s="18">
        <v>920</v>
      </c>
      <c r="AA271" s="18">
        <v>-1</v>
      </c>
      <c r="AB271" s="18" t="s">
        <v>166</v>
      </c>
      <c r="AC271" s="18">
        <v>1</v>
      </c>
      <c r="AD271" s="3">
        <v>0</v>
      </c>
      <c r="AF271" s="56"/>
      <c r="AH271" s="6">
        <v>0</v>
      </c>
      <c r="AI271" s="6">
        <v>0</v>
      </c>
      <c r="AJ271" s="18">
        <v>0</v>
      </c>
      <c r="AK271" s="18">
        <v>0</v>
      </c>
    </row>
    <row r="272" s="18" customFormat="1" spans="1:37">
      <c r="A272" s="18">
        <v>4203301</v>
      </c>
      <c r="B272" s="18">
        <v>4203301</v>
      </c>
      <c r="C272" s="18" t="s">
        <v>600</v>
      </c>
      <c r="D272" s="18" t="s">
        <v>601</v>
      </c>
      <c r="E272" s="18">
        <v>4203301</v>
      </c>
      <c r="F272" s="18">
        <v>2</v>
      </c>
      <c r="G272" s="18">
        <v>1</v>
      </c>
      <c r="H272" s="18" t="s">
        <v>602</v>
      </c>
      <c r="I272" s="18">
        <v>2</v>
      </c>
      <c r="K272" s="18">
        <v>3</v>
      </c>
      <c r="L272" s="18">
        <v>100</v>
      </c>
      <c r="M272" s="18">
        <v>3</v>
      </c>
      <c r="N272" s="18">
        <v>3</v>
      </c>
      <c r="O272" s="18" t="s">
        <v>599</v>
      </c>
      <c r="P272" s="18">
        <v>5</v>
      </c>
      <c r="Q272" s="18">
        <v>4203301</v>
      </c>
      <c r="U272" s="18">
        <v>0</v>
      </c>
      <c r="V272" s="18">
        <v>30000</v>
      </c>
      <c r="W272" s="18">
        <v>0</v>
      </c>
      <c r="X272" s="18">
        <v>670</v>
      </c>
      <c r="Y272" s="18">
        <v>870</v>
      </c>
      <c r="Z272" s="18">
        <v>920</v>
      </c>
      <c r="AA272" s="18">
        <v>17130</v>
      </c>
      <c r="AC272" s="18">
        <v>1</v>
      </c>
      <c r="AD272" s="3">
        <v>0</v>
      </c>
      <c r="AF272" s="56"/>
      <c r="AH272" s="6">
        <v>0</v>
      </c>
      <c r="AI272" s="6">
        <v>0</v>
      </c>
      <c r="AJ272" s="18">
        <v>0</v>
      </c>
      <c r="AK272" s="18">
        <v>0</v>
      </c>
    </row>
    <row r="273" s="18" customFormat="1" spans="1:37">
      <c r="A273" s="18">
        <v>4203302</v>
      </c>
      <c r="B273" s="18">
        <v>4203301</v>
      </c>
      <c r="C273" s="18" t="s">
        <v>600</v>
      </c>
      <c r="D273" s="18" t="s">
        <v>601</v>
      </c>
      <c r="E273" s="18">
        <v>4203301</v>
      </c>
      <c r="F273" s="18">
        <v>2</v>
      </c>
      <c r="G273" s="18">
        <v>2</v>
      </c>
      <c r="H273" s="18" t="s">
        <v>603</v>
      </c>
      <c r="I273" s="18">
        <v>2</v>
      </c>
      <c r="K273" s="18">
        <v>3</v>
      </c>
      <c r="L273" s="18">
        <v>100</v>
      </c>
      <c r="M273" s="18">
        <v>3</v>
      </c>
      <c r="N273" s="18">
        <v>3</v>
      </c>
      <c r="O273" s="18" t="s">
        <v>599</v>
      </c>
      <c r="P273" s="18">
        <v>5</v>
      </c>
      <c r="Q273" s="18">
        <v>4203301</v>
      </c>
      <c r="U273" s="18">
        <v>0</v>
      </c>
      <c r="V273" s="18">
        <v>30000</v>
      </c>
      <c r="W273" s="18">
        <v>0</v>
      </c>
      <c r="X273" s="18">
        <v>670</v>
      </c>
      <c r="Y273" s="18">
        <v>870</v>
      </c>
      <c r="Z273" s="18">
        <v>920</v>
      </c>
      <c r="AA273" s="18">
        <v>17130</v>
      </c>
      <c r="AC273" s="18">
        <v>1</v>
      </c>
      <c r="AD273" s="3">
        <v>0</v>
      </c>
      <c r="AF273" s="56"/>
      <c r="AH273" s="6">
        <v>0</v>
      </c>
      <c r="AI273" s="6">
        <v>0</v>
      </c>
      <c r="AJ273" s="18">
        <v>0</v>
      </c>
      <c r="AK273" s="18">
        <v>0</v>
      </c>
    </row>
    <row r="274" s="18" customFormat="1" spans="1:37">
      <c r="A274" s="18">
        <v>4203303</v>
      </c>
      <c r="B274" s="18">
        <v>4203301</v>
      </c>
      <c r="C274" s="18" t="s">
        <v>600</v>
      </c>
      <c r="D274" s="18" t="s">
        <v>601</v>
      </c>
      <c r="E274" s="18">
        <v>4203301</v>
      </c>
      <c r="F274" s="18">
        <v>2</v>
      </c>
      <c r="G274" s="18">
        <v>3</v>
      </c>
      <c r="H274" s="18" t="s">
        <v>138</v>
      </c>
      <c r="I274" s="18">
        <v>2</v>
      </c>
      <c r="K274" s="18">
        <v>3</v>
      </c>
      <c r="L274" s="18">
        <v>100</v>
      </c>
      <c r="M274" s="18">
        <v>3</v>
      </c>
      <c r="N274" s="18">
        <v>3</v>
      </c>
      <c r="O274" s="18" t="s">
        <v>599</v>
      </c>
      <c r="P274" s="18">
        <v>5</v>
      </c>
      <c r="Q274" s="18">
        <v>4203301</v>
      </c>
      <c r="U274" s="18">
        <v>0</v>
      </c>
      <c r="V274" s="18">
        <v>50000</v>
      </c>
      <c r="W274" s="18">
        <v>0</v>
      </c>
      <c r="X274" s="18">
        <v>670</v>
      </c>
      <c r="Y274" s="18">
        <v>870</v>
      </c>
      <c r="Z274" s="18">
        <v>920</v>
      </c>
      <c r="AA274" s="18">
        <v>17130</v>
      </c>
      <c r="AC274" s="18">
        <v>1</v>
      </c>
      <c r="AD274" s="3">
        <v>0</v>
      </c>
      <c r="AF274" s="56"/>
      <c r="AH274" s="6">
        <v>0</v>
      </c>
      <c r="AI274" s="6">
        <v>0</v>
      </c>
      <c r="AJ274" s="18">
        <v>0</v>
      </c>
      <c r="AK274" s="18">
        <v>0</v>
      </c>
    </row>
    <row r="275" s="3" customFormat="1" spans="1:37">
      <c r="A275" s="3">
        <v>4204101</v>
      </c>
      <c r="B275" s="3">
        <v>4204101</v>
      </c>
      <c r="C275" s="3" t="s">
        <v>87</v>
      </c>
      <c r="D275" s="3" t="s">
        <v>604</v>
      </c>
      <c r="F275" s="3">
        <v>1</v>
      </c>
      <c r="G275" s="3">
        <v>1</v>
      </c>
      <c r="I275" s="3">
        <v>7</v>
      </c>
      <c r="J275" s="3" t="s">
        <v>605</v>
      </c>
      <c r="K275" s="3">
        <v>3</v>
      </c>
      <c r="L275" s="3">
        <v>350</v>
      </c>
      <c r="M275" s="3">
        <v>1</v>
      </c>
      <c r="N275" s="3">
        <v>1</v>
      </c>
      <c r="O275" s="3">
        <v>0</v>
      </c>
      <c r="P275" s="3">
        <v>1</v>
      </c>
      <c r="Q275" s="3">
        <v>4204101</v>
      </c>
      <c r="U275" s="3">
        <v>0</v>
      </c>
      <c r="V275" s="3">
        <v>10000</v>
      </c>
      <c r="W275" s="3">
        <f t="shared" ref="W275:W281" si="22">X275-100</f>
        <v>480</v>
      </c>
      <c r="X275" s="3">
        <v>580</v>
      </c>
      <c r="Y275" s="3">
        <v>670</v>
      </c>
      <c r="Z275" s="3">
        <f>Y275+50</f>
        <v>720</v>
      </c>
      <c r="AA275" s="3">
        <f>1000-Z275</f>
        <v>280</v>
      </c>
      <c r="AC275" s="3">
        <v>2</v>
      </c>
      <c r="AD275" s="3">
        <v>0</v>
      </c>
      <c r="AF275" s="41"/>
      <c r="AH275" s="3">
        <v>0</v>
      </c>
      <c r="AI275" s="3">
        <v>0</v>
      </c>
      <c r="AJ275" s="3">
        <v>0</v>
      </c>
      <c r="AK275" s="3">
        <v>0</v>
      </c>
    </row>
    <row r="276" s="17" customFormat="1" spans="1:37">
      <c r="A276" s="17">
        <v>4204201</v>
      </c>
      <c r="B276" s="17">
        <v>4204201</v>
      </c>
      <c r="C276" s="17" t="s">
        <v>606</v>
      </c>
      <c r="D276" s="17" t="s">
        <v>607</v>
      </c>
      <c r="E276" s="59">
        <v>4204201</v>
      </c>
      <c r="F276" s="17">
        <v>2</v>
      </c>
      <c r="G276" s="17">
        <v>1</v>
      </c>
      <c r="H276" s="17" t="s">
        <v>608</v>
      </c>
      <c r="I276" s="17">
        <v>2</v>
      </c>
      <c r="K276" s="17">
        <v>3</v>
      </c>
      <c r="L276" s="17">
        <v>350</v>
      </c>
      <c r="M276" s="17">
        <v>2</v>
      </c>
      <c r="N276" s="17">
        <v>3</v>
      </c>
      <c r="O276" s="17" t="s">
        <v>157</v>
      </c>
      <c r="P276" s="17">
        <v>5</v>
      </c>
      <c r="Q276" s="17">
        <v>4204201</v>
      </c>
      <c r="U276" s="17">
        <v>0</v>
      </c>
      <c r="V276" s="17">
        <v>10000</v>
      </c>
      <c r="W276" s="17">
        <f t="shared" si="22"/>
        <v>1070</v>
      </c>
      <c r="X276" s="17">
        <v>1170</v>
      </c>
      <c r="Y276" s="17">
        <v>1580</v>
      </c>
      <c r="Z276" s="17">
        <f t="shared" ref="Z276:Z281" si="23">Y276+50</f>
        <v>1630</v>
      </c>
      <c r="AA276" s="17">
        <v>-1</v>
      </c>
      <c r="AB276" s="17" t="s">
        <v>133</v>
      </c>
      <c r="AC276" s="17">
        <v>1</v>
      </c>
      <c r="AD276" s="3">
        <v>0</v>
      </c>
      <c r="AF276" s="41"/>
      <c r="AH276" s="6">
        <v>0</v>
      </c>
      <c r="AI276" s="6">
        <v>0</v>
      </c>
      <c r="AJ276" s="17">
        <v>0</v>
      </c>
      <c r="AK276" s="59">
        <v>0</v>
      </c>
    </row>
    <row r="277" s="17" customFormat="1" spans="1:37">
      <c r="A277" s="17">
        <v>4204202</v>
      </c>
      <c r="B277" s="17">
        <v>4204201</v>
      </c>
      <c r="C277" s="17" t="s">
        <v>606</v>
      </c>
      <c r="D277" s="17" t="s">
        <v>607</v>
      </c>
      <c r="E277" s="59">
        <v>4204201</v>
      </c>
      <c r="F277" s="17">
        <v>2</v>
      </c>
      <c r="G277" s="17">
        <v>2</v>
      </c>
      <c r="H277" s="17" t="s">
        <v>609</v>
      </c>
      <c r="I277" s="17">
        <v>2</v>
      </c>
      <c r="K277" s="17">
        <v>3</v>
      </c>
      <c r="L277" s="17">
        <v>350</v>
      </c>
      <c r="M277" s="17">
        <v>2</v>
      </c>
      <c r="N277" s="17">
        <v>3</v>
      </c>
      <c r="O277" s="17" t="s">
        <v>157</v>
      </c>
      <c r="P277" s="17">
        <v>5</v>
      </c>
      <c r="Q277" s="17">
        <v>4204201</v>
      </c>
      <c r="U277" s="17">
        <v>0</v>
      </c>
      <c r="V277" s="17">
        <v>10000</v>
      </c>
      <c r="W277" s="17">
        <f t="shared" si="22"/>
        <v>1070</v>
      </c>
      <c r="X277" s="17">
        <v>1170</v>
      </c>
      <c r="Y277" s="17">
        <v>1580</v>
      </c>
      <c r="Z277" s="17">
        <f t="shared" si="23"/>
        <v>1630</v>
      </c>
      <c r="AA277" s="17">
        <v>-1</v>
      </c>
      <c r="AB277" s="17" t="s">
        <v>133</v>
      </c>
      <c r="AC277" s="17">
        <v>1</v>
      </c>
      <c r="AD277" s="17">
        <v>1</v>
      </c>
      <c r="AE277" s="17" t="s">
        <v>172</v>
      </c>
      <c r="AF277" s="41"/>
      <c r="AH277" s="6">
        <v>0</v>
      </c>
      <c r="AI277" s="6">
        <v>0</v>
      </c>
      <c r="AJ277" s="17">
        <v>0</v>
      </c>
      <c r="AK277" s="17">
        <v>0</v>
      </c>
    </row>
    <row r="278" s="17" customFormat="1" spans="1:37">
      <c r="A278" s="17">
        <v>4204203</v>
      </c>
      <c r="B278" s="17">
        <v>4204201</v>
      </c>
      <c r="C278" s="17" t="s">
        <v>606</v>
      </c>
      <c r="D278" s="17" t="s">
        <v>607</v>
      </c>
      <c r="E278" s="59">
        <v>4204201</v>
      </c>
      <c r="F278" s="17">
        <v>2</v>
      </c>
      <c r="G278" s="17">
        <v>3</v>
      </c>
      <c r="H278" s="17" t="s">
        <v>446</v>
      </c>
      <c r="I278" s="17">
        <v>2</v>
      </c>
      <c r="K278" s="17">
        <v>3</v>
      </c>
      <c r="L278" s="17">
        <v>350</v>
      </c>
      <c r="M278" s="17">
        <v>2</v>
      </c>
      <c r="N278" s="17">
        <v>3</v>
      </c>
      <c r="O278" s="17" t="s">
        <v>157</v>
      </c>
      <c r="P278" s="17">
        <v>5</v>
      </c>
      <c r="Q278" s="17">
        <v>4204201</v>
      </c>
      <c r="U278" s="17">
        <v>0</v>
      </c>
      <c r="V278" s="17">
        <v>10000</v>
      </c>
      <c r="W278" s="17">
        <f t="shared" si="22"/>
        <v>1070</v>
      </c>
      <c r="X278" s="17">
        <v>1170</v>
      </c>
      <c r="Y278" s="17">
        <v>1580</v>
      </c>
      <c r="Z278" s="17">
        <f t="shared" si="23"/>
        <v>1630</v>
      </c>
      <c r="AA278" s="17">
        <v>-1</v>
      </c>
      <c r="AB278" s="17" t="s">
        <v>92</v>
      </c>
      <c r="AC278" s="17">
        <v>1</v>
      </c>
      <c r="AD278" s="17">
        <v>1</v>
      </c>
      <c r="AE278" s="17" t="s">
        <v>172</v>
      </c>
      <c r="AF278" s="41"/>
      <c r="AH278" s="6">
        <v>0</v>
      </c>
      <c r="AI278" s="6">
        <v>0</v>
      </c>
      <c r="AJ278" s="17">
        <v>0</v>
      </c>
      <c r="AK278" s="59">
        <v>0</v>
      </c>
    </row>
    <row r="279" s="17" customFormat="1" spans="1:37">
      <c r="A279" s="17">
        <v>4204301</v>
      </c>
      <c r="B279" s="17">
        <v>4204301</v>
      </c>
      <c r="C279" s="17" t="s">
        <v>610</v>
      </c>
      <c r="D279" s="17" t="s">
        <v>611</v>
      </c>
      <c r="E279" s="59">
        <v>4204301</v>
      </c>
      <c r="F279" s="17">
        <v>2</v>
      </c>
      <c r="G279" s="17">
        <v>1</v>
      </c>
      <c r="H279" s="17" t="s">
        <v>612</v>
      </c>
      <c r="I279" s="17">
        <v>7</v>
      </c>
      <c r="J279" s="17" t="s">
        <v>613</v>
      </c>
      <c r="K279" s="17">
        <v>3</v>
      </c>
      <c r="L279" s="17">
        <v>350</v>
      </c>
      <c r="M279" s="17">
        <v>3</v>
      </c>
      <c r="N279" s="17">
        <v>1</v>
      </c>
      <c r="O279" s="17" t="s">
        <v>132</v>
      </c>
      <c r="P279" s="17">
        <v>10</v>
      </c>
      <c r="Q279" s="17">
        <v>4204301</v>
      </c>
      <c r="U279" s="17">
        <v>0</v>
      </c>
      <c r="V279" s="17">
        <v>15000</v>
      </c>
      <c r="W279" s="17">
        <f t="shared" si="22"/>
        <v>1070</v>
      </c>
      <c r="X279" s="17">
        <v>1170</v>
      </c>
      <c r="Y279" s="17">
        <v>1250</v>
      </c>
      <c r="Z279" s="17">
        <f t="shared" si="23"/>
        <v>1300</v>
      </c>
      <c r="AA279" s="17">
        <v>16000</v>
      </c>
      <c r="AC279" s="17">
        <v>2</v>
      </c>
      <c r="AD279" s="3">
        <v>0</v>
      </c>
      <c r="AF279" s="41"/>
      <c r="AH279" s="6">
        <v>0</v>
      </c>
      <c r="AI279" s="6">
        <v>0</v>
      </c>
      <c r="AJ279" s="17">
        <v>0</v>
      </c>
      <c r="AK279" s="17">
        <v>0</v>
      </c>
    </row>
    <row r="280" s="17" customFormat="1" spans="1:37">
      <c r="A280" s="17">
        <v>4204302</v>
      </c>
      <c r="B280" s="17">
        <v>4204301</v>
      </c>
      <c r="C280" s="17" t="s">
        <v>610</v>
      </c>
      <c r="D280" s="17" t="s">
        <v>611</v>
      </c>
      <c r="E280" s="59">
        <v>4204301</v>
      </c>
      <c r="F280" s="17">
        <v>2</v>
      </c>
      <c r="G280" s="17">
        <v>2</v>
      </c>
      <c r="H280" s="17" t="s">
        <v>125</v>
      </c>
      <c r="I280" s="17">
        <v>7</v>
      </c>
      <c r="J280" s="17" t="s">
        <v>613</v>
      </c>
      <c r="K280" s="17">
        <v>3</v>
      </c>
      <c r="L280" s="17">
        <v>350</v>
      </c>
      <c r="M280" s="17">
        <v>3</v>
      </c>
      <c r="N280" s="17">
        <v>1</v>
      </c>
      <c r="O280" s="17" t="s">
        <v>132</v>
      </c>
      <c r="P280" s="17">
        <v>10</v>
      </c>
      <c r="Q280" s="17">
        <v>4204301</v>
      </c>
      <c r="U280" s="17">
        <v>0</v>
      </c>
      <c r="V280" s="17">
        <v>15000</v>
      </c>
      <c r="W280" s="17">
        <f t="shared" si="22"/>
        <v>1070</v>
      </c>
      <c r="X280" s="17">
        <v>1170</v>
      </c>
      <c r="Y280" s="17">
        <v>1250</v>
      </c>
      <c r="Z280" s="17">
        <f t="shared" si="23"/>
        <v>1300</v>
      </c>
      <c r="AA280" s="17">
        <v>13000</v>
      </c>
      <c r="AC280" s="17">
        <v>2</v>
      </c>
      <c r="AD280" s="3">
        <v>0</v>
      </c>
      <c r="AF280" s="41"/>
      <c r="AH280" s="6">
        <v>0</v>
      </c>
      <c r="AI280" s="6">
        <v>0</v>
      </c>
      <c r="AJ280" s="17">
        <v>0</v>
      </c>
      <c r="AK280" s="59">
        <v>0</v>
      </c>
    </row>
    <row r="281" s="17" customFormat="1" spans="1:37">
      <c r="A281" s="17">
        <v>4204303</v>
      </c>
      <c r="B281" s="17">
        <v>4204301</v>
      </c>
      <c r="C281" s="17" t="s">
        <v>610</v>
      </c>
      <c r="D281" s="17" t="s">
        <v>611</v>
      </c>
      <c r="E281" s="59">
        <v>4204301</v>
      </c>
      <c r="F281" s="17">
        <v>2</v>
      </c>
      <c r="G281" s="17">
        <v>3</v>
      </c>
      <c r="H281" s="17" t="s">
        <v>125</v>
      </c>
      <c r="I281" s="17">
        <v>7</v>
      </c>
      <c r="J281" s="17" t="s">
        <v>613</v>
      </c>
      <c r="K281" s="17">
        <v>3</v>
      </c>
      <c r="L281" s="17">
        <v>350</v>
      </c>
      <c r="M281" s="17">
        <v>3</v>
      </c>
      <c r="N281" s="17">
        <v>1</v>
      </c>
      <c r="O281" s="17" t="s">
        <v>132</v>
      </c>
      <c r="P281" s="17">
        <v>10</v>
      </c>
      <c r="Q281" s="17">
        <v>4204301</v>
      </c>
      <c r="U281" s="17">
        <v>0</v>
      </c>
      <c r="V281" s="17">
        <v>15000</v>
      </c>
      <c r="W281" s="17">
        <f t="shared" si="22"/>
        <v>1070</v>
      </c>
      <c r="X281" s="17">
        <v>1170</v>
      </c>
      <c r="Y281" s="17">
        <v>1250</v>
      </c>
      <c r="Z281" s="17">
        <f t="shared" si="23"/>
        <v>1300</v>
      </c>
      <c r="AA281" s="17">
        <v>9000</v>
      </c>
      <c r="AC281" s="17">
        <v>2</v>
      </c>
      <c r="AD281" s="3">
        <v>0</v>
      </c>
      <c r="AF281" s="41"/>
      <c r="AH281" s="6">
        <v>0</v>
      </c>
      <c r="AI281" s="6">
        <v>0</v>
      </c>
      <c r="AJ281" s="17">
        <v>0</v>
      </c>
      <c r="AK281" s="17">
        <v>0</v>
      </c>
    </row>
    <row r="282" s="18" customFormat="1" spans="1:37">
      <c r="A282" s="18">
        <v>4205101</v>
      </c>
      <c r="B282" s="18">
        <v>4205101</v>
      </c>
      <c r="C282" s="18" t="s">
        <v>87</v>
      </c>
      <c r="D282" s="18" t="s">
        <v>614</v>
      </c>
      <c r="F282" s="18">
        <v>1</v>
      </c>
      <c r="G282" s="18">
        <v>1</v>
      </c>
      <c r="I282" s="18">
        <v>1</v>
      </c>
      <c r="K282" s="18">
        <v>3</v>
      </c>
      <c r="L282" s="18">
        <v>100</v>
      </c>
      <c r="M282" s="18">
        <v>1</v>
      </c>
      <c r="N282" s="18">
        <v>1</v>
      </c>
      <c r="O282" s="18">
        <v>0</v>
      </c>
      <c r="P282" s="18">
        <v>1</v>
      </c>
      <c r="Q282" s="18">
        <v>4205101</v>
      </c>
      <c r="U282" s="18">
        <v>0</v>
      </c>
      <c r="V282" s="18">
        <v>10000</v>
      </c>
      <c r="W282" s="18">
        <v>0</v>
      </c>
      <c r="X282" s="18">
        <v>600</v>
      </c>
      <c r="Y282" s="18">
        <v>730</v>
      </c>
      <c r="Z282" s="18">
        <v>780</v>
      </c>
      <c r="AA282" s="18">
        <v>450</v>
      </c>
      <c r="AC282" s="18">
        <v>1</v>
      </c>
      <c r="AD282" s="3">
        <v>0</v>
      </c>
      <c r="AF282" s="56"/>
      <c r="AH282" s="6">
        <v>0</v>
      </c>
      <c r="AI282" s="6">
        <v>0</v>
      </c>
      <c r="AJ282" s="18">
        <v>0</v>
      </c>
      <c r="AK282" s="18">
        <v>0</v>
      </c>
    </row>
    <row r="283" s="18" customFormat="1" spans="1:37">
      <c r="A283" s="18">
        <v>4205201</v>
      </c>
      <c r="B283" s="18">
        <v>4205201</v>
      </c>
      <c r="C283" s="18" t="s">
        <v>615</v>
      </c>
      <c r="D283" s="18" t="s">
        <v>616</v>
      </c>
      <c r="E283" s="18">
        <v>4205201</v>
      </c>
      <c r="F283" s="18">
        <v>2</v>
      </c>
      <c r="G283" s="18">
        <v>1</v>
      </c>
      <c r="H283" s="18" t="s">
        <v>617</v>
      </c>
      <c r="I283" s="18">
        <v>2</v>
      </c>
      <c r="K283" s="18">
        <v>3</v>
      </c>
      <c r="L283" s="18">
        <v>100</v>
      </c>
      <c r="M283" s="18">
        <v>2</v>
      </c>
      <c r="N283" s="18">
        <v>3</v>
      </c>
      <c r="O283" s="18" t="s">
        <v>599</v>
      </c>
      <c r="P283" s="18">
        <v>4</v>
      </c>
      <c r="Q283" s="18">
        <v>4205201</v>
      </c>
      <c r="U283" s="18">
        <v>0</v>
      </c>
      <c r="V283" s="18">
        <v>2500</v>
      </c>
      <c r="W283" s="18">
        <v>0</v>
      </c>
      <c r="X283" s="18">
        <v>600</v>
      </c>
      <c r="Y283" s="18">
        <v>730</v>
      </c>
      <c r="Z283" s="18">
        <v>780</v>
      </c>
      <c r="AA283" s="18">
        <v>-1</v>
      </c>
      <c r="AB283" s="18" t="s">
        <v>133</v>
      </c>
      <c r="AC283" s="18">
        <v>1</v>
      </c>
      <c r="AD283" s="3">
        <v>0</v>
      </c>
      <c r="AF283" s="56"/>
      <c r="AH283" s="6">
        <v>0</v>
      </c>
      <c r="AI283" s="6">
        <v>0</v>
      </c>
      <c r="AJ283" s="18">
        <v>0</v>
      </c>
      <c r="AK283" s="18">
        <v>0</v>
      </c>
    </row>
    <row r="284" s="18" customFormat="1" spans="1:37">
      <c r="A284" s="18">
        <v>4205202</v>
      </c>
      <c r="B284" s="18">
        <v>4205201</v>
      </c>
      <c r="C284" s="18" t="s">
        <v>615</v>
      </c>
      <c r="D284" s="18" t="s">
        <v>616</v>
      </c>
      <c r="E284" s="18">
        <v>4205201</v>
      </c>
      <c r="F284" s="18">
        <v>2</v>
      </c>
      <c r="G284" s="18">
        <v>2</v>
      </c>
      <c r="H284" s="18" t="s">
        <v>618</v>
      </c>
      <c r="I284" s="18">
        <v>2</v>
      </c>
      <c r="K284" s="18">
        <v>3</v>
      </c>
      <c r="L284" s="18">
        <v>100</v>
      </c>
      <c r="M284" s="18">
        <v>2</v>
      </c>
      <c r="N284" s="18">
        <v>3</v>
      </c>
      <c r="O284" s="18" t="s">
        <v>599</v>
      </c>
      <c r="P284" s="18">
        <v>4</v>
      </c>
      <c r="Q284" s="18">
        <v>4205201</v>
      </c>
      <c r="U284" s="18">
        <v>0</v>
      </c>
      <c r="V284" s="18">
        <v>2500</v>
      </c>
      <c r="W284" s="18">
        <v>0</v>
      </c>
      <c r="X284" s="18">
        <v>600</v>
      </c>
      <c r="Y284" s="18">
        <v>730</v>
      </c>
      <c r="Z284" s="18">
        <v>780</v>
      </c>
      <c r="AA284" s="18">
        <v>-1</v>
      </c>
      <c r="AB284" s="18" t="s">
        <v>619</v>
      </c>
      <c r="AC284" s="18">
        <v>1</v>
      </c>
      <c r="AD284" s="3">
        <v>0</v>
      </c>
      <c r="AF284" s="56"/>
      <c r="AH284" s="6">
        <v>0</v>
      </c>
      <c r="AI284" s="6">
        <v>0</v>
      </c>
      <c r="AJ284" s="18">
        <v>0</v>
      </c>
      <c r="AK284" s="18">
        <v>0</v>
      </c>
    </row>
    <row r="285" s="18" customFormat="1" spans="1:37">
      <c r="A285" s="18">
        <v>4205203</v>
      </c>
      <c r="B285" s="18">
        <v>4205201</v>
      </c>
      <c r="C285" s="18" t="s">
        <v>615</v>
      </c>
      <c r="D285" s="18" t="s">
        <v>616</v>
      </c>
      <c r="E285" s="18">
        <v>4205201</v>
      </c>
      <c r="F285" s="18">
        <v>2</v>
      </c>
      <c r="G285" s="18">
        <v>3</v>
      </c>
      <c r="H285" s="18" t="s">
        <v>358</v>
      </c>
      <c r="I285" s="18">
        <v>2</v>
      </c>
      <c r="K285" s="18">
        <v>3</v>
      </c>
      <c r="L285" s="18">
        <v>100</v>
      </c>
      <c r="M285" s="18">
        <v>2</v>
      </c>
      <c r="N285" s="18">
        <v>3</v>
      </c>
      <c r="O285" s="18" t="s">
        <v>599</v>
      </c>
      <c r="P285" s="18">
        <v>4</v>
      </c>
      <c r="Q285" s="18">
        <v>4205201</v>
      </c>
      <c r="U285" s="18">
        <v>0</v>
      </c>
      <c r="V285" s="18">
        <v>2500</v>
      </c>
      <c r="W285" s="18">
        <v>0</v>
      </c>
      <c r="X285" s="18">
        <v>600</v>
      </c>
      <c r="Y285" s="18">
        <v>730</v>
      </c>
      <c r="Z285" s="18">
        <v>780</v>
      </c>
      <c r="AA285" s="18">
        <v>-1</v>
      </c>
      <c r="AB285" s="18" t="s">
        <v>619</v>
      </c>
      <c r="AC285" s="18">
        <v>1</v>
      </c>
      <c r="AD285" s="3">
        <v>0</v>
      </c>
      <c r="AF285" s="56"/>
      <c r="AH285" s="6">
        <v>0</v>
      </c>
      <c r="AI285" s="6">
        <v>0</v>
      </c>
      <c r="AJ285" s="18">
        <v>0</v>
      </c>
      <c r="AK285" s="18">
        <v>0</v>
      </c>
    </row>
    <row r="286" s="18" customFormat="1" spans="1:37">
      <c r="A286" s="18">
        <v>4205301</v>
      </c>
      <c r="B286" s="18">
        <v>4205301</v>
      </c>
      <c r="C286" s="18" t="s">
        <v>620</v>
      </c>
      <c r="D286" s="18" t="s">
        <v>621</v>
      </c>
      <c r="E286" s="18">
        <v>4205301</v>
      </c>
      <c r="F286" s="18">
        <v>2</v>
      </c>
      <c r="G286" s="18">
        <v>1</v>
      </c>
      <c r="H286" s="18" t="s">
        <v>622</v>
      </c>
      <c r="I286" s="18">
        <v>2</v>
      </c>
      <c r="K286" s="18">
        <v>3</v>
      </c>
      <c r="L286" s="18">
        <v>100</v>
      </c>
      <c r="M286" s="18">
        <v>3</v>
      </c>
      <c r="N286" s="18">
        <v>1</v>
      </c>
      <c r="O286" s="18">
        <v>0</v>
      </c>
      <c r="P286" s="18">
        <v>1</v>
      </c>
      <c r="Q286" s="18">
        <v>4205301</v>
      </c>
      <c r="U286" s="18">
        <v>0</v>
      </c>
      <c r="V286" s="18">
        <v>10000</v>
      </c>
      <c r="W286" s="18">
        <v>0</v>
      </c>
      <c r="X286" s="18">
        <v>600</v>
      </c>
      <c r="Y286" s="18">
        <v>730</v>
      </c>
      <c r="Z286" s="18">
        <v>780</v>
      </c>
      <c r="AA286" s="18">
        <v>17270</v>
      </c>
      <c r="AC286" s="18">
        <v>1</v>
      </c>
      <c r="AD286" s="3">
        <v>0</v>
      </c>
      <c r="AF286" s="56"/>
      <c r="AH286" s="6">
        <v>0</v>
      </c>
      <c r="AI286" s="6">
        <v>0</v>
      </c>
      <c r="AJ286" s="18">
        <v>0</v>
      </c>
      <c r="AK286" s="18">
        <v>0</v>
      </c>
    </row>
    <row r="287" s="18" customFormat="1" spans="1:37">
      <c r="A287" s="18">
        <v>4205302</v>
      </c>
      <c r="B287" s="18">
        <v>4205301</v>
      </c>
      <c r="C287" s="18" t="s">
        <v>620</v>
      </c>
      <c r="D287" s="18" t="s">
        <v>621</v>
      </c>
      <c r="E287" s="18">
        <v>4205301</v>
      </c>
      <c r="F287" s="18">
        <v>2</v>
      </c>
      <c r="G287" s="18">
        <v>2</v>
      </c>
      <c r="H287" s="18" t="s">
        <v>623</v>
      </c>
      <c r="I287" s="18">
        <v>2</v>
      </c>
      <c r="K287" s="18">
        <v>3</v>
      </c>
      <c r="L287" s="18">
        <v>100</v>
      </c>
      <c r="M287" s="18">
        <v>3</v>
      </c>
      <c r="N287" s="18">
        <v>1</v>
      </c>
      <c r="O287" s="18">
        <v>0</v>
      </c>
      <c r="P287" s="18">
        <v>1</v>
      </c>
      <c r="Q287" s="18">
        <v>4205301</v>
      </c>
      <c r="U287" s="18">
        <v>0</v>
      </c>
      <c r="V287" s="18">
        <v>10000</v>
      </c>
      <c r="W287" s="18">
        <v>0</v>
      </c>
      <c r="X287" s="18">
        <v>600</v>
      </c>
      <c r="Y287" s="18">
        <v>730</v>
      </c>
      <c r="Z287" s="18">
        <v>780</v>
      </c>
      <c r="AA287" s="18">
        <v>17270</v>
      </c>
      <c r="AC287" s="18">
        <v>1</v>
      </c>
      <c r="AD287" s="3">
        <v>0</v>
      </c>
      <c r="AF287" s="56"/>
      <c r="AH287" s="6">
        <v>0</v>
      </c>
      <c r="AI287" s="6">
        <v>0</v>
      </c>
      <c r="AJ287" s="18">
        <v>0</v>
      </c>
      <c r="AK287" s="18">
        <v>0</v>
      </c>
    </row>
    <row r="288" s="18" customFormat="1" spans="1:37">
      <c r="A288" s="18">
        <v>4205303</v>
      </c>
      <c r="B288" s="18">
        <v>4205301</v>
      </c>
      <c r="C288" s="18" t="s">
        <v>620</v>
      </c>
      <c r="D288" s="18" t="s">
        <v>621</v>
      </c>
      <c r="E288" s="18">
        <v>4205301</v>
      </c>
      <c r="F288" s="18">
        <v>2</v>
      </c>
      <c r="G288" s="18">
        <v>3</v>
      </c>
      <c r="H288" s="18" t="s">
        <v>125</v>
      </c>
      <c r="I288" s="18">
        <v>2</v>
      </c>
      <c r="K288" s="18">
        <v>3</v>
      </c>
      <c r="L288" s="18">
        <v>100</v>
      </c>
      <c r="M288" s="18">
        <v>3</v>
      </c>
      <c r="N288" s="18">
        <v>1</v>
      </c>
      <c r="O288" s="18">
        <v>0</v>
      </c>
      <c r="P288" s="18">
        <v>1</v>
      </c>
      <c r="Q288" s="18">
        <v>4205301</v>
      </c>
      <c r="U288" s="18">
        <v>0</v>
      </c>
      <c r="V288" s="18">
        <v>10000</v>
      </c>
      <c r="W288" s="18">
        <v>0</v>
      </c>
      <c r="X288" s="18">
        <v>600</v>
      </c>
      <c r="Y288" s="18">
        <v>730</v>
      </c>
      <c r="Z288" s="18">
        <v>780</v>
      </c>
      <c r="AA288" s="18">
        <v>12270</v>
      </c>
      <c r="AC288" s="18">
        <v>1</v>
      </c>
      <c r="AD288" s="3">
        <v>0</v>
      </c>
      <c r="AF288" s="56"/>
      <c r="AH288" s="6">
        <v>0</v>
      </c>
      <c r="AI288" s="6">
        <v>0</v>
      </c>
      <c r="AJ288" s="18">
        <v>0</v>
      </c>
      <c r="AK288" s="18">
        <v>0</v>
      </c>
    </row>
    <row r="289" s="6" customFormat="1" spans="1:37">
      <c r="A289" s="6">
        <v>4206101</v>
      </c>
      <c r="B289" s="6">
        <v>4206101</v>
      </c>
      <c r="C289" s="6" t="s">
        <v>87</v>
      </c>
      <c r="D289" s="6" t="s">
        <v>624</v>
      </c>
      <c r="F289" s="6">
        <v>1</v>
      </c>
      <c r="G289" s="6">
        <v>1</v>
      </c>
      <c r="I289" s="6">
        <v>7</v>
      </c>
      <c r="J289" s="6" t="s">
        <v>625</v>
      </c>
      <c r="K289" s="6">
        <v>3</v>
      </c>
      <c r="L289" s="6">
        <v>350</v>
      </c>
      <c r="M289" s="6">
        <v>1</v>
      </c>
      <c r="N289" s="6">
        <v>1</v>
      </c>
      <c r="O289" s="6">
        <v>0</v>
      </c>
      <c r="P289" s="6">
        <v>1</v>
      </c>
      <c r="Q289" s="6">
        <v>4206101</v>
      </c>
      <c r="U289" s="6">
        <v>0</v>
      </c>
      <c r="V289" s="6">
        <v>10000</v>
      </c>
      <c r="W289" s="6">
        <v>860</v>
      </c>
      <c r="X289" s="6">
        <v>870</v>
      </c>
      <c r="Y289" s="6">
        <v>1000</v>
      </c>
      <c r="Z289" s="6">
        <v>1050</v>
      </c>
      <c r="AA289" s="6">
        <v>450</v>
      </c>
      <c r="AC289" s="6">
        <v>1</v>
      </c>
      <c r="AD289" s="3">
        <v>0</v>
      </c>
      <c r="AF289" s="41"/>
      <c r="AH289" s="6">
        <v>0</v>
      </c>
      <c r="AI289" s="6">
        <v>0</v>
      </c>
      <c r="AJ289" s="6">
        <v>0</v>
      </c>
      <c r="AK289" s="6">
        <v>0</v>
      </c>
    </row>
    <row r="290" s="6" customFormat="1" spans="1:37">
      <c r="A290" s="6">
        <v>4206201</v>
      </c>
      <c r="B290" s="6">
        <v>4206201</v>
      </c>
      <c r="C290" s="6" t="s">
        <v>626</v>
      </c>
      <c r="D290" s="6" t="s">
        <v>627</v>
      </c>
      <c r="E290" s="6">
        <v>4206201</v>
      </c>
      <c r="F290" s="6">
        <v>2</v>
      </c>
      <c r="G290" s="6">
        <v>1</v>
      </c>
      <c r="H290" s="6" t="s">
        <v>628</v>
      </c>
      <c r="I290" s="6">
        <v>2</v>
      </c>
      <c r="K290" s="6">
        <v>3</v>
      </c>
      <c r="L290" s="6">
        <v>350</v>
      </c>
      <c r="M290" s="6">
        <v>2</v>
      </c>
      <c r="N290" s="6">
        <v>1</v>
      </c>
      <c r="O290" s="6">
        <v>0</v>
      </c>
      <c r="P290" s="6">
        <v>2</v>
      </c>
      <c r="Q290" s="6">
        <v>4206201</v>
      </c>
      <c r="U290" s="6">
        <v>0</v>
      </c>
      <c r="V290" s="6">
        <v>10000</v>
      </c>
      <c r="W290" s="6">
        <v>0</v>
      </c>
      <c r="X290" s="6">
        <v>870</v>
      </c>
      <c r="Y290" s="6">
        <v>1000</v>
      </c>
      <c r="Z290" s="6">
        <v>1050</v>
      </c>
      <c r="AA290" s="6">
        <v>-1</v>
      </c>
      <c r="AB290" s="6" t="s">
        <v>133</v>
      </c>
      <c r="AC290" s="6">
        <v>1</v>
      </c>
      <c r="AD290" s="3">
        <v>0</v>
      </c>
      <c r="AF290" s="41"/>
      <c r="AH290" s="6">
        <v>0</v>
      </c>
      <c r="AI290" s="6">
        <v>0</v>
      </c>
      <c r="AJ290" s="6">
        <v>0</v>
      </c>
      <c r="AK290" s="6">
        <v>0</v>
      </c>
    </row>
    <row r="291" s="6" customFormat="1" spans="1:37">
      <c r="A291" s="6">
        <v>4206202</v>
      </c>
      <c r="B291" s="6">
        <v>4206201</v>
      </c>
      <c r="C291" s="6" t="s">
        <v>626</v>
      </c>
      <c r="D291" s="6" t="s">
        <v>627</v>
      </c>
      <c r="E291" s="6">
        <v>4206201</v>
      </c>
      <c r="F291" s="6">
        <v>2</v>
      </c>
      <c r="G291" s="6">
        <v>2</v>
      </c>
      <c r="H291" s="6" t="s">
        <v>472</v>
      </c>
      <c r="I291" s="6">
        <v>2</v>
      </c>
      <c r="K291" s="6">
        <v>3</v>
      </c>
      <c r="L291" s="6">
        <v>350</v>
      </c>
      <c r="M291" s="6">
        <v>2</v>
      </c>
      <c r="N291" s="6">
        <v>1</v>
      </c>
      <c r="O291" s="6">
        <v>0</v>
      </c>
      <c r="P291" s="6">
        <v>3</v>
      </c>
      <c r="Q291" s="6">
        <v>4206201</v>
      </c>
      <c r="U291" s="6">
        <v>0</v>
      </c>
      <c r="V291" s="6">
        <v>10000</v>
      </c>
      <c r="W291" s="6">
        <v>0</v>
      </c>
      <c r="X291" s="6">
        <v>870</v>
      </c>
      <c r="Y291" s="6">
        <v>1000</v>
      </c>
      <c r="Z291" s="6">
        <v>1050</v>
      </c>
      <c r="AA291" s="6">
        <v>-1</v>
      </c>
      <c r="AB291" s="6" t="s">
        <v>133</v>
      </c>
      <c r="AC291" s="6">
        <v>1</v>
      </c>
      <c r="AD291" s="3">
        <v>0</v>
      </c>
      <c r="AF291" s="41"/>
      <c r="AH291" s="6">
        <v>0</v>
      </c>
      <c r="AI291" s="6">
        <v>0</v>
      </c>
      <c r="AJ291" s="6">
        <v>0</v>
      </c>
      <c r="AK291" s="6">
        <v>0</v>
      </c>
    </row>
    <row r="292" s="6" customFormat="1" spans="1:37">
      <c r="A292" s="6">
        <v>4206203</v>
      </c>
      <c r="B292" s="6">
        <v>4206201</v>
      </c>
      <c r="C292" s="6" t="s">
        <v>626</v>
      </c>
      <c r="D292" s="6" t="s">
        <v>627</v>
      </c>
      <c r="E292" s="6">
        <v>4206201</v>
      </c>
      <c r="F292" s="6">
        <v>2</v>
      </c>
      <c r="G292" s="6">
        <v>3</v>
      </c>
      <c r="H292" s="6" t="s">
        <v>472</v>
      </c>
      <c r="I292" s="6">
        <v>2</v>
      </c>
      <c r="K292" s="6">
        <v>3</v>
      </c>
      <c r="L292" s="6">
        <v>350</v>
      </c>
      <c r="M292" s="6">
        <v>2</v>
      </c>
      <c r="N292" s="6">
        <v>1</v>
      </c>
      <c r="O292" s="6">
        <v>0</v>
      </c>
      <c r="P292" s="6">
        <v>4</v>
      </c>
      <c r="Q292" s="6">
        <v>4206201</v>
      </c>
      <c r="U292" s="6">
        <v>0</v>
      </c>
      <c r="V292" s="6">
        <v>10000</v>
      </c>
      <c r="W292" s="6">
        <v>0</v>
      </c>
      <c r="X292" s="6">
        <v>870</v>
      </c>
      <c r="Y292" s="6">
        <v>1000</v>
      </c>
      <c r="Z292" s="6">
        <v>1050</v>
      </c>
      <c r="AA292" s="6">
        <v>-1</v>
      </c>
      <c r="AB292" s="6" t="s">
        <v>133</v>
      </c>
      <c r="AC292" s="6">
        <v>1</v>
      </c>
      <c r="AD292" s="3">
        <v>0</v>
      </c>
      <c r="AF292" s="41"/>
      <c r="AH292" s="6">
        <v>0</v>
      </c>
      <c r="AI292" s="6">
        <v>0</v>
      </c>
      <c r="AJ292" s="6">
        <v>0</v>
      </c>
      <c r="AK292" s="6">
        <v>0</v>
      </c>
    </row>
    <row r="293" s="6" customFormat="1" spans="1:37">
      <c r="A293" s="6">
        <v>4206301</v>
      </c>
      <c r="B293" s="6">
        <v>4206301</v>
      </c>
      <c r="C293" s="6" t="s">
        <v>629</v>
      </c>
      <c r="D293" s="6" t="s">
        <v>630</v>
      </c>
      <c r="E293" s="6">
        <v>4206301</v>
      </c>
      <c r="F293" s="6">
        <v>2</v>
      </c>
      <c r="G293" s="6">
        <v>1</v>
      </c>
      <c r="H293" s="6" t="s">
        <v>631</v>
      </c>
      <c r="I293" s="6">
        <v>2</v>
      </c>
      <c r="K293" s="6">
        <v>3</v>
      </c>
      <c r="L293" s="6">
        <v>350</v>
      </c>
      <c r="M293" s="6">
        <v>3</v>
      </c>
      <c r="N293" s="6">
        <v>3</v>
      </c>
      <c r="O293" s="6" t="s">
        <v>632</v>
      </c>
      <c r="P293" s="6">
        <v>8</v>
      </c>
      <c r="Q293" s="6">
        <v>4206301</v>
      </c>
      <c r="U293" s="6">
        <v>0</v>
      </c>
      <c r="V293" s="6">
        <v>10000</v>
      </c>
      <c r="W293" s="6">
        <v>0</v>
      </c>
      <c r="X293" s="6">
        <v>600</v>
      </c>
      <c r="Y293" s="6">
        <v>1870</v>
      </c>
      <c r="Z293" s="6">
        <v>1920</v>
      </c>
      <c r="AA293" s="6">
        <v>14130</v>
      </c>
      <c r="AC293" s="6">
        <v>1</v>
      </c>
      <c r="AD293" s="3">
        <v>0</v>
      </c>
      <c r="AF293" s="41"/>
      <c r="AH293" s="6">
        <v>0</v>
      </c>
      <c r="AI293" s="6">
        <v>0</v>
      </c>
      <c r="AJ293" s="6">
        <v>0</v>
      </c>
      <c r="AK293" s="6">
        <v>0</v>
      </c>
    </row>
    <row r="294" s="6" customFormat="1" spans="1:37">
      <c r="A294" s="6">
        <v>4206302</v>
      </c>
      <c r="B294" s="6">
        <v>4206301</v>
      </c>
      <c r="C294" s="6" t="s">
        <v>629</v>
      </c>
      <c r="D294" s="6" t="s">
        <v>630</v>
      </c>
      <c r="E294" s="6">
        <v>4206301</v>
      </c>
      <c r="F294" s="6">
        <v>2</v>
      </c>
      <c r="G294" s="6">
        <v>2</v>
      </c>
      <c r="H294" s="6" t="s">
        <v>358</v>
      </c>
      <c r="I294" s="6">
        <v>2</v>
      </c>
      <c r="K294" s="6">
        <v>3</v>
      </c>
      <c r="L294" s="6">
        <v>350</v>
      </c>
      <c r="M294" s="6">
        <v>3</v>
      </c>
      <c r="N294" s="6">
        <v>3</v>
      </c>
      <c r="O294" s="6" t="s">
        <v>632</v>
      </c>
      <c r="P294" s="6">
        <v>8</v>
      </c>
      <c r="Q294" s="6">
        <v>4206301</v>
      </c>
      <c r="U294" s="6">
        <v>0</v>
      </c>
      <c r="V294" s="6">
        <v>10000</v>
      </c>
      <c r="W294" s="6">
        <v>0</v>
      </c>
      <c r="X294" s="6">
        <v>600</v>
      </c>
      <c r="Y294" s="6">
        <v>1870</v>
      </c>
      <c r="Z294" s="6">
        <v>1920</v>
      </c>
      <c r="AA294" s="6">
        <v>14130</v>
      </c>
      <c r="AC294" s="6">
        <v>1</v>
      </c>
      <c r="AD294" s="6">
        <v>1</v>
      </c>
      <c r="AE294" s="6" t="s">
        <v>359</v>
      </c>
      <c r="AF294" s="41"/>
      <c r="AH294" s="6">
        <v>0</v>
      </c>
      <c r="AI294" s="6">
        <v>0</v>
      </c>
      <c r="AJ294" s="6">
        <v>0</v>
      </c>
      <c r="AK294" s="6">
        <v>0</v>
      </c>
    </row>
    <row r="295" s="6" customFormat="1" spans="1:37">
      <c r="A295" s="6">
        <v>4206303</v>
      </c>
      <c r="B295" s="6">
        <v>4206301</v>
      </c>
      <c r="C295" s="6" t="s">
        <v>629</v>
      </c>
      <c r="D295" s="6" t="s">
        <v>630</v>
      </c>
      <c r="E295" s="6">
        <v>4206301</v>
      </c>
      <c r="F295" s="6">
        <v>2</v>
      </c>
      <c r="G295" s="6">
        <v>3</v>
      </c>
      <c r="H295" s="6" t="s">
        <v>125</v>
      </c>
      <c r="I295" s="6">
        <v>2</v>
      </c>
      <c r="K295" s="6">
        <v>3</v>
      </c>
      <c r="L295" s="6">
        <v>350</v>
      </c>
      <c r="M295" s="6">
        <v>3</v>
      </c>
      <c r="N295" s="6">
        <v>3</v>
      </c>
      <c r="O295" s="6" t="s">
        <v>632</v>
      </c>
      <c r="P295" s="6">
        <v>8</v>
      </c>
      <c r="Q295" s="6">
        <v>4206301</v>
      </c>
      <c r="U295" s="6">
        <v>0</v>
      </c>
      <c r="V295" s="6">
        <v>10000</v>
      </c>
      <c r="W295" s="6">
        <v>0</v>
      </c>
      <c r="X295" s="6">
        <v>600</v>
      </c>
      <c r="Y295" s="6">
        <v>1870</v>
      </c>
      <c r="Z295" s="6">
        <v>1920</v>
      </c>
      <c r="AA295" s="6">
        <v>14130</v>
      </c>
      <c r="AC295" s="6">
        <v>1</v>
      </c>
      <c r="AD295" s="6">
        <v>1</v>
      </c>
      <c r="AE295" s="6" t="s">
        <v>359</v>
      </c>
      <c r="AF295" s="41"/>
      <c r="AH295" s="6">
        <v>0</v>
      </c>
      <c r="AI295" s="6">
        <v>0</v>
      </c>
      <c r="AJ295" s="6">
        <v>0</v>
      </c>
      <c r="AK295" s="6">
        <v>0</v>
      </c>
    </row>
    <row r="296" s="3" customFormat="1" spans="1:37">
      <c r="A296" s="3">
        <v>4207101</v>
      </c>
      <c r="B296" s="3">
        <v>4207101</v>
      </c>
      <c r="C296" s="3" t="s">
        <v>87</v>
      </c>
      <c r="D296" s="3" t="s">
        <v>633</v>
      </c>
      <c r="F296" s="3">
        <v>1</v>
      </c>
      <c r="G296" s="3">
        <v>1</v>
      </c>
      <c r="I296" s="3">
        <v>1</v>
      </c>
      <c r="K296" s="3">
        <v>3</v>
      </c>
      <c r="L296" s="3">
        <v>65</v>
      </c>
      <c r="M296" s="3">
        <v>1</v>
      </c>
      <c r="N296" s="3">
        <v>1</v>
      </c>
      <c r="O296" s="3">
        <v>0</v>
      </c>
      <c r="P296" s="3">
        <v>1</v>
      </c>
      <c r="Q296" s="3">
        <v>4207101</v>
      </c>
      <c r="U296" s="3">
        <v>0</v>
      </c>
      <c r="V296" s="3">
        <v>10000</v>
      </c>
      <c r="W296" s="3">
        <f t="shared" ref="W296:W299" si="24">X296-100</f>
        <v>400</v>
      </c>
      <c r="X296" s="3">
        <v>500</v>
      </c>
      <c r="Y296" s="3">
        <v>670</v>
      </c>
      <c r="Z296" s="3">
        <f t="shared" ref="Z296:Z299" si="25">Y296+50</f>
        <v>720</v>
      </c>
      <c r="AA296" s="3">
        <f>1000-Z296</f>
        <v>280</v>
      </c>
      <c r="AC296" s="3">
        <v>1</v>
      </c>
      <c r="AD296" s="3">
        <v>0</v>
      </c>
      <c r="AF296" s="41"/>
      <c r="AH296" s="3">
        <v>0</v>
      </c>
      <c r="AI296" s="3">
        <v>0</v>
      </c>
      <c r="AJ296" s="3">
        <v>0</v>
      </c>
      <c r="AK296" s="9">
        <v>0</v>
      </c>
    </row>
    <row r="297" s="17" customFormat="1" spans="1:37">
      <c r="A297" s="17">
        <v>4207201</v>
      </c>
      <c r="B297" s="17">
        <v>4207201</v>
      </c>
      <c r="C297" s="17" t="s">
        <v>634</v>
      </c>
      <c r="D297" s="17" t="s">
        <v>635</v>
      </c>
      <c r="E297" s="59">
        <v>4207201</v>
      </c>
      <c r="F297" s="17">
        <v>2</v>
      </c>
      <c r="G297" s="17">
        <v>1</v>
      </c>
      <c r="H297" s="17" t="s">
        <v>636</v>
      </c>
      <c r="I297" s="17">
        <v>2</v>
      </c>
      <c r="K297" s="17">
        <v>3</v>
      </c>
      <c r="L297" s="17">
        <v>100</v>
      </c>
      <c r="M297" s="17">
        <v>2</v>
      </c>
      <c r="N297" s="17">
        <v>1</v>
      </c>
      <c r="O297" s="17">
        <v>0</v>
      </c>
      <c r="P297" s="17">
        <v>1</v>
      </c>
      <c r="Q297" s="17">
        <v>4207201</v>
      </c>
      <c r="U297" s="17">
        <v>0</v>
      </c>
      <c r="V297" s="17">
        <v>20000</v>
      </c>
      <c r="W297" s="17">
        <f t="shared" si="24"/>
        <v>980</v>
      </c>
      <c r="X297" s="17">
        <v>1080</v>
      </c>
      <c r="Y297" s="17">
        <v>1250</v>
      </c>
      <c r="Z297" s="17">
        <f t="shared" si="25"/>
        <v>1300</v>
      </c>
      <c r="AA297" s="17">
        <v>-1</v>
      </c>
      <c r="AB297" s="17" t="s">
        <v>166</v>
      </c>
      <c r="AC297" s="17">
        <v>1</v>
      </c>
      <c r="AD297" s="17">
        <v>1</v>
      </c>
      <c r="AE297" s="17" t="s">
        <v>261</v>
      </c>
      <c r="AF297" s="41"/>
      <c r="AH297" s="6">
        <v>0</v>
      </c>
      <c r="AI297" s="6">
        <v>0</v>
      </c>
      <c r="AJ297" s="17">
        <v>0</v>
      </c>
      <c r="AK297" s="17">
        <v>0</v>
      </c>
    </row>
    <row r="298" s="17" customFormat="1" spans="1:37">
      <c r="A298" s="17">
        <v>4207202</v>
      </c>
      <c r="B298" s="17">
        <v>4207201</v>
      </c>
      <c r="C298" s="17" t="s">
        <v>634</v>
      </c>
      <c r="D298" s="17" t="s">
        <v>635</v>
      </c>
      <c r="E298" s="59">
        <v>4207201</v>
      </c>
      <c r="F298" s="17">
        <v>2</v>
      </c>
      <c r="G298" s="17">
        <v>2</v>
      </c>
      <c r="H298" s="17" t="s">
        <v>138</v>
      </c>
      <c r="I298" s="17">
        <v>2</v>
      </c>
      <c r="K298" s="17">
        <v>3</v>
      </c>
      <c r="L298" s="17">
        <v>100</v>
      </c>
      <c r="M298" s="17">
        <v>2</v>
      </c>
      <c r="N298" s="17">
        <v>1</v>
      </c>
      <c r="O298" s="17">
        <v>0</v>
      </c>
      <c r="P298" s="17">
        <v>1</v>
      </c>
      <c r="Q298" s="17">
        <v>4207201</v>
      </c>
      <c r="U298" s="17">
        <v>0</v>
      </c>
      <c r="V298" s="17">
        <v>30000</v>
      </c>
      <c r="W298" s="17">
        <f t="shared" si="24"/>
        <v>980</v>
      </c>
      <c r="X298" s="17">
        <v>1080</v>
      </c>
      <c r="Y298" s="17">
        <v>1250</v>
      </c>
      <c r="Z298" s="17">
        <f t="shared" si="25"/>
        <v>1300</v>
      </c>
      <c r="AA298" s="17">
        <v>-1</v>
      </c>
      <c r="AB298" s="17" t="s">
        <v>166</v>
      </c>
      <c r="AC298" s="17">
        <v>1</v>
      </c>
      <c r="AD298" s="17">
        <v>1</v>
      </c>
      <c r="AE298" s="17" t="s">
        <v>261</v>
      </c>
      <c r="AF298" s="41"/>
      <c r="AH298" s="6">
        <v>0</v>
      </c>
      <c r="AI298" s="6">
        <v>0</v>
      </c>
      <c r="AJ298" s="17">
        <v>0</v>
      </c>
      <c r="AK298" s="59">
        <v>0</v>
      </c>
    </row>
    <row r="299" s="17" customFormat="1" spans="1:37">
      <c r="A299" s="17">
        <v>4207203</v>
      </c>
      <c r="B299" s="17">
        <v>4207201</v>
      </c>
      <c r="C299" s="17" t="s">
        <v>634</v>
      </c>
      <c r="D299" s="17" t="s">
        <v>635</v>
      </c>
      <c r="E299" s="59">
        <v>4207201</v>
      </c>
      <c r="F299" s="17">
        <v>2</v>
      </c>
      <c r="G299" s="17">
        <v>3</v>
      </c>
      <c r="H299" s="17" t="s">
        <v>138</v>
      </c>
      <c r="I299" s="17">
        <v>2</v>
      </c>
      <c r="K299" s="17">
        <v>3</v>
      </c>
      <c r="L299" s="17">
        <v>100</v>
      </c>
      <c r="M299" s="17">
        <v>2</v>
      </c>
      <c r="N299" s="17">
        <v>1</v>
      </c>
      <c r="O299" s="17">
        <v>0</v>
      </c>
      <c r="P299" s="17">
        <v>1</v>
      </c>
      <c r="Q299" s="17">
        <v>4207201</v>
      </c>
      <c r="U299" s="17">
        <v>0</v>
      </c>
      <c r="V299" s="17">
        <v>40000</v>
      </c>
      <c r="W299" s="17">
        <f t="shared" si="24"/>
        <v>980</v>
      </c>
      <c r="X299" s="17">
        <v>1080</v>
      </c>
      <c r="Y299" s="17">
        <v>1250</v>
      </c>
      <c r="Z299" s="17">
        <f t="shared" si="25"/>
        <v>1300</v>
      </c>
      <c r="AA299" s="17">
        <v>-1</v>
      </c>
      <c r="AB299" s="17" t="s">
        <v>166</v>
      </c>
      <c r="AC299" s="17">
        <v>1</v>
      </c>
      <c r="AD299" s="17">
        <v>1</v>
      </c>
      <c r="AE299" s="17" t="s">
        <v>261</v>
      </c>
      <c r="AF299" s="41"/>
      <c r="AH299" s="6">
        <v>0</v>
      </c>
      <c r="AI299" s="6">
        <v>0</v>
      </c>
      <c r="AJ299" s="17">
        <v>0</v>
      </c>
      <c r="AK299" s="17">
        <v>0</v>
      </c>
    </row>
    <row r="300" s="17" customFormat="1" spans="1:37">
      <c r="A300" s="17">
        <v>4207301</v>
      </c>
      <c r="B300" s="17">
        <v>4207301</v>
      </c>
      <c r="C300" s="17" t="s">
        <v>637</v>
      </c>
      <c r="D300" s="17" t="s">
        <v>638</v>
      </c>
      <c r="E300" s="59">
        <v>4207301</v>
      </c>
      <c r="F300" s="17">
        <v>3</v>
      </c>
      <c r="G300" s="17">
        <v>1</v>
      </c>
      <c r="H300" s="17" t="s">
        <v>639</v>
      </c>
      <c r="I300" s="17">
        <v>0</v>
      </c>
      <c r="K300" s="17">
        <v>0</v>
      </c>
      <c r="L300" s="17">
        <v>0</v>
      </c>
      <c r="M300" s="17">
        <v>0</v>
      </c>
      <c r="N300" s="17">
        <v>0</v>
      </c>
      <c r="O300" s="17">
        <v>0</v>
      </c>
      <c r="P300" s="17">
        <v>0</v>
      </c>
      <c r="Q300" s="17">
        <v>-1</v>
      </c>
      <c r="T300" s="17" t="s">
        <v>640</v>
      </c>
      <c r="U300" s="17">
        <v>0</v>
      </c>
      <c r="V300" s="17">
        <v>0</v>
      </c>
      <c r="W300" s="17">
        <v>0</v>
      </c>
      <c r="X300" s="17">
        <v>0</v>
      </c>
      <c r="Y300" s="17">
        <v>0</v>
      </c>
      <c r="Z300" s="17">
        <v>0</v>
      </c>
      <c r="AA300" s="17">
        <v>0</v>
      </c>
      <c r="AC300" s="17">
        <v>0</v>
      </c>
      <c r="AD300" s="3">
        <v>0</v>
      </c>
      <c r="AF300" s="41"/>
      <c r="AH300" s="6">
        <v>0</v>
      </c>
      <c r="AI300" s="6">
        <v>0</v>
      </c>
      <c r="AJ300" s="17">
        <v>0</v>
      </c>
      <c r="AK300" s="59">
        <v>0</v>
      </c>
    </row>
    <row r="301" s="17" customFormat="1" spans="1:37">
      <c r="A301" s="17">
        <v>4207302</v>
      </c>
      <c r="B301" s="17">
        <v>4207301</v>
      </c>
      <c r="C301" s="17" t="s">
        <v>637</v>
      </c>
      <c r="D301" s="17" t="s">
        <v>638</v>
      </c>
      <c r="E301" s="59">
        <v>4207301</v>
      </c>
      <c r="F301" s="17">
        <v>3</v>
      </c>
      <c r="G301" s="17">
        <v>2</v>
      </c>
      <c r="H301" s="17" t="s">
        <v>641</v>
      </c>
      <c r="I301" s="17">
        <v>0</v>
      </c>
      <c r="K301" s="17">
        <v>0</v>
      </c>
      <c r="L301" s="17">
        <v>0</v>
      </c>
      <c r="M301" s="17">
        <v>0</v>
      </c>
      <c r="N301" s="17">
        <v>0</v>
      </c>
      <c r="O301" s="17">
        <v>0</v>
      </c>
      <c r="P301" s="17">
        <v>0</v>
      </c>
      <c r="Q301" s="17">
        <v>-1</v>
      </c>
      <c r="T301" s="17" t="s">
        <v>642</v>
      </c>
      <c r="U301" s="17">
        <v>0</v>
      </c>
      <c r="V301" s="17">
        <v>0</v>
      </c>
      <c r="W301" s="17">
        <v>0</v>
      </c>
      <c r="X301" s="17">
        <v>0</v>
      </c>
      <c r="Y301" s="17">
        <v>0</v>
      </c>
      <c r="Z301" s="17">
        <v>0</v>
      </c>
      <c r="AA301" s="17">
        <v>0</v>
      </c>
      <c r="AC301" s="17">
        <v>0</v>
      </c>
      <c r="AD301" s="3">
        <v>0</v>
      </c>
      <c r="AF301" s="41"/>
      <c r="AH301" s="6">
        <v>0</v>
      </c>
      <c r="AI301" s="6">
        <v>0</v>
      </c>
      <c r="AJ301" s="17">
        <v>0</v>
      </c>
      <c r="AK301" s="17">
        <v>0</v>
      </c>
    </row>
    <row r="302" s="17" customFormat="1" spans="1:37">
      <c r="A302" s="17">
        <v>4207303</v>
      </c>
      <c r="B302" s="17">
        <v>4207301</v>
      </c>
      <c r="C302" s="17" t="s">
        <v>637</v>
      </c>
      <c r="D302" s="17" t="s">
        <v>638</v>
      </c>
      <c r="E302" s="59">
        <v>4207301</v>
      </c>
      <c r="F302" s="17">
        <v>3</v>
      </c>
      <c r="G302" s="17">
        <v>3</v>
      </c>
      <c r="H302" s="17" t="s">
        <v>641</v>
      </c>
      <c r="I302" s="17">
        <v>0</v>
      </c>
      <c r="K302" s="17">
        <v>0</v>
      </c>
      <c r="L302" s="17">
        <v>0</v>
      </c>
      <c r="M302" s="17">
        <v>0</v>
      </c>
      <c r="N302" s="17">
        <v>0</v>
      </c>
      <c r="O302" s="17">
        <v>0</v>
      </c>
      <c r="P302" s="17">
        <v>0</v>
      </c>
      <c r="Q302" s="17">
        <v>-1</v>
      </c>
      <c r="T302" s="17" t="s">
        <v>643</v>
      </c>
      <c r="U302" s="17">
        <v>0</v>
      </c>
      <c r="V302" s="17">
        <v>0</v>
      </c>
      <c r="W302" s="17">
        <v>0</v>
      </c>
      <c r="X302" s="17">
        <v>0</v>
      </c>
      <c r="Y302" s="17">
        <v>0</v>
      </c>
      <c r="Z302" s="17">
        <v>0</v>
      </c>
      <c r="AA302" s="17">
        <v>0</v>
      </c>
      <c r="AC302" s="17">
        <v>0</v>
      </c>
      <c r="AD302" s="3">
        <v>0</v>
      </c>
      <c r="AF302" s="41"/>
      <c r="AH302" s="6">
        <v>0</v>
      </c>
      <c r="AI302" s="6">
        <v>0</v>
      </c>
      <c r="AJ302" s="17">
        <v>0</v>
      </c>
      <c r="AK302" s="59">
        <v>0</v>
      </c>
    </row>
    <row r="303" s="19" customFormat="1" spans="1:37">
      <c r="A303" s="19">
        <v>4101101</v>
      </c>
      <c r="B303" s="19">
        <v>4101101</v>
      </c>
      <c r="C303" s="19" t="s">
        <v>87</v>
      </c>
      <c r="D303" s="19" t="s">
        <v>644</v>
      </c>
      <c r="F303" s="19">
        <v>1</v>
      </c>
      <c r="G303" s="19">
        <v>1</v>
      </c>
      <c r="I303" s="19">
        <v>1</v>
      </c>
      <c r="K303" s="19">
        <v>3</v>
      </c>
      <c r="L303" s="19">
        <v>100</v>
      </c>
      <c r="M303" s="19">
        <v>1</v>
      </c>
      <c r="N303" s="19">
        <v>1</v>
      </c>
      <c r="O303" s="19">
        <v>0</v>
      </c>
      <c r="P303" s="19">
        <v>1</v>
      </c>
      <c r="Q303" s="19">
        <v>4101101</v>
      </c>
      <c r="U303" s="19">
        <v>0</v>
      </c>
      <c r="V303" s="19">
        <v>10000</v>
      </c>
      <c r="W303" s="17">
        <f>X303-100</f>
        <v>370</v>
      </c>
      <c r="X303" s="19">
        <v>470</v>
      </c>
      <c r="Y303" s="19">
        <v>670</v>
      </c>
      <c r="Z303" s="19">
        <v>720</v>
      </c>
      <c r="AA303" s="19">
        <v>450</v>
      </c>
      <c r="AC303" s="19">
        <v>1</v>
      </c>
      <c r="AD303" s="3">
        <v>0</v>
      </c>
      <c r="AF303" s="41"/>
      <c r="AH303" s="6">
        <v>0</v>
      </c>
      <c r="AI303" s="6">
        <v>0</v>
      </c>
      <c r="AJ303" s="19">
        <v>0</v>
      </c>
      <c r="AK303" s="19">
        <v>0</v>
      </c>
    </row>
    <row r="304" s="19" customFormat="1" spans="1:37">
      <c r="A304" s="19">
        <v>4101201</v>
      </c>
      <c r="B304" s="19">
        <v>4101201</v>
      </c>
      <c r="C304" s="19" t="s">
        <v>645</v>
      </c>
      <c r="D304" s="19" t="s">
        <v>646</v>
      </c>
      <c r="E304" s="61">
        <v>4101201</v>
      </c>
      <c r="F304" s="19">
        <v>3</v>
      </c>
      <c r="G304" s="19">
        <v>1</v>
      </c>
      <c r="H304" s="19" t="s">
        <v>647</v>
      </c>
      <c r="I304" s="19">
        <v>0</v>
      </c>
      <c r="K304" s="19">
        <v>0</v>
      </c>
      <c r="L304" s="19">
        <v>0</v>
      </c>
      <c r="M304" s="19">
        <v>0</v>
      </c>
      <c r="N304" s="19">
        <v>0</v>
      </c>
      <c r="O304" s="19">
        <v>0</v>
      </c>
      <c r="P304" s="19">
        <v>0</v>
      </c>
      <c r="Q304" s="19">
        <v>-1</v>
      </c>
      <c r="S304" s="19" t="s">
        <v>648</v>
      </c>
      <c r="U304" s="19">
        <v>0</v>
      </c>
      <c r="V304" s="19">
        <v>0</v>
      </c>
      <c r="W304" s="17">
        <v>0</v>
      </c>
      <c r="X304" s="19">
        <v>0</v>
      </c>
      <c r="Y304" s="19">
        <v>0</v>
      </c>
      <c r="Z304" s="19">
        <v>50</v>
      </c>
      <c r="AA304" s="19">
        <v>0</v>
      </c>
      <c r="AC304" s="19">
        <v>0</v>
      </c>
      <c r="AD304" s="3">
        <v>0</v>
      </c>
      <c r="AF304" s="41"/>
      <c r="AH304" s="6">
        <v>0</v>
      </c>
      <c r="AI304" s="6">
        <v>0</v>
      </c>
      <c r="AJ304" s="19">
        <v>0</v>
      </c>
      <c r="AK304" s="61">
        <v>0</v>
      </c>
    </row>
    <row r="305" s="19" customFormat="1" spans="1:37">
      <c r="A305" s="19">
        <v>4101202</v>
      </c>
      <c r="B305" s="19">
        <v>4101201</v>
      </c>
      <c r="C305" s="19" t="s">
        <v>645</v>
      </c>
      <c r="D305" s="19" t="s">
        <v>646</v>
      </c>
      <c r="E305" s="61">
        <v>4101201</v>
      </c>
      <c r="F305" s="19">
        <v>3</v>
      </c>
      <c r="G305" s="19">
        <v>2</v>
      </c>
      <c r="H305" s="19" t="s">
        <v>649</v>
      </c>
      <c r="I305" s="19">
        <v>0</v>
      </c>
      <c r="K305" s="19">
        <v>0</v>
      </c>
      <c r="L305" s="19">
        <v>0</v>
      </c>
      <c r="M305" s="19">
        <v>0</v>
      </c>
      <c r="N305" s="19">
        <v>0</v>
      </c>
      <c r="O305" s="19">
        <v>0</v>
      </c>
      <c r="P305" s="19">
        <v>0</v>
      </c>
      <c r="Q305" s="19">
        <v>-1</v>
      </c>
      <c r="S305" s="19" t="s">
        <v>648</v>
      </c>
      <c r="U305" s="19">
        <v>0</v>
      </c>
      <c r="V305" s="19">
        <v>0</v>
      </c>
      <c r="W305" s="19">
        <v>0</v>
      </c>
      <c r="X305" s="19">
        <v>0</v>
      </c>
      <c r="Y305" s="19">
        <v>0</v>
      </c>
      <c r="Z305" s="19">
        <v>50</v>
      </c>
      <c r="AA305" s="19">
        <v>0</v>
      </c>
      <c r="AC305" s="19">
        <v>0</v>
      </c>
      <c r="AD305" s="3">
        <v>0</v>
      </c>
      <c r="AF305" s="41"/>
      <c r="AH305" s="6">
        <v>0</v>
      </c>
      <c r="AI305" s="6">
        <v>0</v>
      </c>
      <c r="AJ305" s="19">
        <v>0</v>
      </c>
      <c r="AK305" s="19">
        <v>0</v>
      </c>
    </row>
    <row r="306" s="19" customFormat="1" spans="1:37">
      <c r="A306" s="19">
        <v>4101203</v>
      </c>
      <c r="B306" s="19">
        <v>4101201</v>
      </c>
      <c r="C306" s="19" t="s">
        <v>645</v>
      </c>
      <c r="D306" s="19" t="s">
        <v>646</v>
      </c>
      <c r="E306" s="61">
        <v>4101201</v>
      </c>
      <c r="F306" s="19">
        <v>3</v>
      </c>
      <c r="G306" s="19">
        <v>3</v>
      </c>
      <c r="H306" s="19" t="s">
        <v>649</v>
      </c>
      <c r="I306" s="19">
        <v>0</v>
      </c>
      <c r="K306" s="19">
        <v>0</v>
      </c>
      <c r="L306" s="19">
        <v>0</v>
      </c>
      <c r="M306" s="19">
        <v>0</v>
      </c>
      <c r="N306" s="19">
        <v>0</v>
      </c>
      <c r="O306" s="19">
        <v>0</v>
      </c>
      <c r="P306" s="19">
        <v>0</v>
      </c>
      <c r="Q306" s="19">
        <v>-1</v>
      </c>
      <c r="S306" s="19" t="s">
        <v>648</v>
      </c>
      <c r="U306" s="19">
        <v>0</v>
      </c>
      <c r="V306" s="19">
        <v>0</v>
      </c>
      <c r="W306" s="19">
        <v>0</v>
      </c>
      <c r="X306" s="19">
        <v>0</v>
      </c>
      <c r="Y306" s="19">
        <v>0</v>
      </c>
      <c r="Z306" s="19">
        <v>50</v>
      </c>
      <c r="AA306" s="19">
        <v>0</v>
      </c>
      <c r="AC306" s="19">
        <v>0</v>
      </c>
      <c r="AD306" s="3">
        <v>0</v>
      </c>
      <c r="AF306" s="41"/>
      <c r="AH306" s="6">
        <v>0</v>
      </c>
      <c r="AI306" s="6">
        <v>0</v>
      </c>
      <c r="AJ306" s="19">
        <v>0</v>
      </c>
      <c r="AK306" s="61">
        <v>0</v>
      </c>
    </row>
    <row r="307" s="19" customFormat="1" spans="1:37">
      <c r="A307" s="19">
        <v>4101301</v>
      </c>
      <c r="B307" s="19">
        <v>4101301</v>
      </c>
      <c r="C307" s="19" t="s">
        <v>650</v>
      </c>
      <c r="D307" s="19" t="s">
        <v>651</v>
      </c>
      <c r="E307" s="61">
        <v>4101301</v>
      </c>
      <c r="F307" s="19">
        <v>3</v>
      </c>
      <c r="G307" s="19">
        <v>1</v>
      </c>
      <c r="H307" s="19" t="s">
        <v>652</v>
      </c>
      <c r="I307" s="19">
        <v>0</v>
      </c>
      <c r="K307" s="19">
        <v>0</v>
      </c>
      <c r="L307" s="19">
        <v>0</v>
      </c>
      <c r="M307" s="19">
        <v>0</v>
      </c>
      <c r="N307" s="19">
        <v>0</v>
      </c>
      <c r="O307" s="19">
        <v>0</v>
      </c>
      <c r="P307" s="19">
        <v>0</v>
      </c>
      <c r="Q307" s="19">
        <v>-1</v>
      </c>
      <c r="T307" s="19" t="s">
        <v>653</v>
      </c>
      <c r="U307" s="19">
        <v>0</v>
      </c>
      <c r="V307" s="19">
        <v>0</v>
      </c>
      <c r="W307" s="19">
        <v>0</v>
      </c>
      <c r="X307" s="19">
        <v>0</v>
      </c>
      <c r="Y307" s="19">
        <v>0</v>
      </c>
      <c r="Z307" s="19">
        <v>50</v>
      </c>
      <c r="AA307" s="19">
        <v>0</v>
      </c>
      <c r="AC307" s="19">
        <v>0</v>
      </c>
      <c r="AD307" s="3">
        <v>0</v>
      </c>
      <c r="AF307" s="41"/>
      <c r="AH307" s="6">
        <v>0</v>
      </c>
      <c r="AI307" s="6">
        <v>0</v>
      </c>
      <c r="AJ307" s="19">
        <v>0</v>
      </c>
      <c r="AK307" s="19">
        <v>0</v>
      </c>
    </row>
    <row r="308" s="19" customFormat="1" spans="1:37">
      <c r="A308" s="19">
        <v>4101302</v>
      </c>
      <c r="B308" s="19">
        <v>4101301</v>
      </c>
      <c r="C308" s="19" t="s">
        <v>650</v>
      </c>
      <c r="D308" s="19" t="s">
        <v>651</v>
      </c>
      <c r="E308" s="61">
        <v>4101301</v>
      </c>
      <c r="F308" s="19">
        <v>3</v>
      </c>
      <c r="G308" s="19">
        <v>2</v>
      </c>
      <c r="H308" s="19" t="s">
        <v>654</v>
      </c>
      <c r="I308" s="19">
        <v>0</v>
      </c>
      <c r="K308" s="19">
        <v>0</v>
      </c>
      <c r="L308" s="19">
        <v>0</v>
      </c>
      <c r="M308" s="19">
        <v>0</v>
      </c>
      <c r="N308" s="19">
        <v>0</v>
      </c>
      <c r="O308" s="19">
        <v>0</v>
      </c>
      <c r="P308" s="19">
        <v>0</v>
      </c>
      <c r="Q308" s="19">
        <v>-1</v>
      </c>
      <c r="T308" s="19" t="s">
        <v>653</v>
      </c>
      <c r="U308" s="19">
        <v>0</v>
      </c>
      <c r="V308" s="19">
        <v>0</v>
      </c>
      <c r="W308" s="19">
        <v>0</v>
      </c>
      <c r="X308" s="19">
        <v>0</v>
      </c>
      <c r="Y308" s="19">
        <v>0</v>
      </c>
      <c r="Z308" s="19">
        <v>50</v>
      </c>
      <c r="AA308" s="19">
        <v>0</v>
      </c>
      <c r="AC308" s="19">
        <v>0</v>
      </c>
      <c r="AD308" s="3">
        <v>0</v>
      </c>
      <c r="AF308" s="41"/>
      <c r="AH308" s="6">
        <v>0</v>
      </c>
      <c r="AI308" s="6">
        <v>0</v>
      </c>
      <c r="AJ308" s="19">
        <v>0</v>
      </c>
      <c r="AK308" s="61">
        <v>0</v>
      </c>
    </row>
    <row r="309" s="19" customFormat="1" spans="1:37">
      <c r="A309" s="19">
        <v>4101303</v>
      </c>
      <c r="B309" s="19">
        <v>4101301</v>
      </c>
      <c r="C309" s="19" t="s">
        <v>650</v>
      </c>
      <c r="D309" s="19" t="s">
        <v>651</v>
      </c>
      <c r="E309" s="61">
        <v>4101301</v>
      </c>
      <c r="F309" s="19">
        <v>3</v>
      </c>
      <c r="G309" s="19">
        <v>3</v>
      </c>
      <c r="H309" s="19" t="s">
        <v>654</v>
      </c>
      <c r="I309" s="19">
        <v>0</v>
      </c>
      <c r="K309" s="19">
        <v>0</v>
      </c>
      <c r="L309" s="19">
        <v>0</v>
      </c>
      <c r="M309" s="19">
        <v>0</v>
      </c>
      <c r="N309" s="19">
        <v>0</v>
      </c>
      <c r="O309" s="19">
        <v>0</v>
      </c>
      <c r="P309" s="19">
        <v>0</v>
      </c>
      <c r="Q309" s="19">
        <v>-1</v>
      </c>
      <c r="T309" s="19" t="s">
        <v>653</v>
      </c>
      <c r="U309" s="19">
        <v>0</v>
      </c>
      <c r="V309" s="19">
        <v>0</v>
      </c>
      <c r="W309" s="19">
        <v>0</v>
      </c>
      <c r="X309" s="19">
        <v>0</v>
      </c>
      <c r="Y309" s="19">
        <v>0</v>
      </c>
      <c r="Z309" s="19">
        <v>50</v>
      </c>
      <c r="AA309" s="19">
        <v>0</v>
      </c>
      <c r="AC309" s="19">
        <v>0</v>
      </c>
      <c r="AD309" s="3">
        <v>0</v>
      </c>
      <c r="AF309" s="41"/>
      <c r="AH309" s="6">
        <v>0</v>
      </c>
      <c r="AI309" s="6">
        <v>0</v>
      </c>
      <c r="AJ309" s="19">
        <v>0</v>
      </c>
      <c r="AK309" s="19">
        <v>0</v>
      </c>
    </row>
    <row r="310" s="19" customFormat="1" spans="1:37">
      <c r="A310" s="19">
        <v>4102101</v>
      </c>
      <c r="B310" s="19">
        <v>4102101</v>
      </c>
      <c r="C310" s="19" t="s">
        <v>87</v>
      </c>
      <c r="D310" s="19" t="s">
        <v>655</v>
      </c>
      <c r="F310" s="19">
        <v>1</v>
      </c>
      <c r="G310" s="19">
        <v>1</v>
      </c>
      <c r="I310" s="19">
        <v>4</v>
      </c>
      <c r="K310" s="19">
        <v>3</v>
      </c>
      <c r="L310" s="19">
        <v>100</v>
      </c>
      <c r="M310" s="19">
        <v>1</v>
      </c>
      <c r="N310" s="19">
        <v>1</v>
      </c>
      <c r="O310" s="19">
        <v>0</v>
      </c>
      <c r="P310" s="19">
        <v>1</v>
      </c>
      <c r="Q310" s="19">
        <v>4102101</v>
      </c>
      <c r="U310" s="19">
        <v>0</v>
      </c>
      <c r="V310" s="19">
        <v>10000</v>
      </c>
      <c r="W310" s="17">
        <f>X310-100</f>
        <v>500</v>
      </c>
      <c r="X310" s="19">
        <v>600</v>
      </c>
      <c r="Y310" s="19">
        <v>930</v>
      </c>
      <c r="Z310" s="19">
        <v>980</v>
      </c>
      <c r="AA310" s="19">
        <v>450</v>
      </c>
      <c r="AC310" s="19">
        <v>2</v>
      </c>
      <c r="AD310" s="3">
        <v>0</v>
      </c>
      <c r="AF310" s="41"/>
      <c r="AH310" s="6">
        <v>0</v>
      </c>
      <c r="AI310" s="6">
        <v>0</v>
      </c>
      <c r="AJ310" s="19">
        <v>0</v>
      </c>
      <c r="AK310" s="61">
        <v>0</v>
      </c>
    </row>
    <row r="311" s="19" customFormat="1" spans="1:37">
      <c r="A311" s="19">
        <v>4102201</v>
      </c>
      <c r="B311" s="19">
        <v>4102201</v>
      </c>
      <c r="C311" s="19" t="s">
        <v>656</v>
      </c>
      <c r="D311" s="19" t="s">
        <v>657</v>
      </c>
      <c r="E311" s="61">
        <v>4102201</v>
      </c>
      <c r="F311" s="19">
        <v>2</v>
      </c>
      <c r="G311" s="19">
        <v>1</v>
      </c>
      <c r="H311" s="19" t="s">
        <v>658</v>
      </c>
      <c r="I311" s="19">
        <v>2</v>
      </c>
      <c r="K311" s="19">
        <v>3</v>
      </c>
      <c r="L311" s="19">
        <v>350</v>
      </c>
      <c r="M311" s="19">
        <v>2</v>
      </c>
      <c r="N311" s="19">
        <v>1</v>
      </c>
      <c r="O311" s="19">
        <v>0</v>
      </c>
      <c r="P311" s="19">
        <v>2</v>
      </c>
      <c r="Q311" s="19">
        <v>4102201</v>
      </c>
      <c r="U311" s="19">
        <v>0</v>
      </c>
      <c r="V311" s="19">
        <v>10000</v>
      </c>
      <c r="W311" s="19">
        <v>0</v>
      </c>
      <c r="X311" s="19">
        <v>0</v>
      </c>
      <c r="Y311" s="19">
        <v>4000</v>
      </c>
      <c r="Z311" s="19">
        <v>4050</v>
      </c>
      <c r="AA311" s="19">
        <v>-1</v>
      </c>
      <c r="AB311" s="19" t="s">
        <v>133</v>
      </c>
      <c r="AC311" s="19">
        <v>1</v>
      </c>
      <c r="AD311" s="3">
        <v>0</v>
      </c>
      <c r="AF311" s="41"/>
      <c r="AH311" s="6">
        <v>0</v>
      </c>
      <c r="AI311" s="6">
        <v>0</v>
      </c>
      <c r="AJ311" s="19">
        <v>0</v>
      </c>
      <c r="AK311" s="19">
        <v>0</v>
      </c>
    </row>
    <row r="312" s="19" customFormat="1" spans="1:37">
      <c r="A312" s="19">
        <v>4102202</v>
      </c>
      <c r="B312" s="19">
        <v>4102201</v>
      </c>
      <c r="C312" s="19" t="s">
        <v>656</v>
      </c>
      <c r="D312" s="19" t="s">
        <v>657</v>
      </c>
      <c r="E312" s="61">
        <v>4102201</v>
      </c>
      <c r="F312" s="19">
        <v>2</v>
      </c>
      <c r="G312" s="19">
        <v>2</v>
      </c>
      <c r="H312" s="19" t="s">
        <v>659</v>
      </c>
      <c r="I312" s="19">
        <v>2</v>
      </c>
      <c r="K312" s="19">
        <v>3</v>
      </c>
      <c r="L312" s="19">
        <v>350</v>
      </c>
      <c r="M312" s="19">
        <v>2</v>
      </c>
      <c r="N312" s="19">
        <v>1</v>
      </c>
      <c r="O312" s="19">
        <v>0</v>
      </c>
      <c r="P312" s="19">
        <v>2</v>
      </c>
      <c r="Q312" s="19">
        <v>4102201</v>
      </c>
      <c r="U312" s="19">
        <v>0</v>
      </c>
      <c r="V312" s="19">
        <v>10000</v>
      </c>
      <c r="W312" s="19">
        <v>0</v>
      </c>
      <c r="X312" s="19">
        <v>0</v>
      </c>
      <c r="Y312" s="19">
        <v>4000</v>
      </c>
      <c r="Z312" s="19">
        <v>4050</v>
      </c>
      <c r="AA312" s="19">
        <v>-1</v>
      </c>
      <c r="AB312" s="19" t="s">
        <v>133</v>
      </c>
      <c r="AC312" s="19">
        <v>1</v>
      </c>
      <c r="AD312" s="19">
        <v>1</v>
      </c>
      <c r="AE312" s="19" t="s">
        <v>222</v>
      </c>
      <c r="AF312" s="41"/>
      <c r="AH312" s="6">
        <v>0</v>
      </c>
      <c r="AI312" s="6">
        <v>0</v>
      </c>
      <c r="AJ312" s="19">
        <v>0</v>
      </c>
      <c r="AK312" s="61">
        <v>0</v>
      </c>
    </row>
    <row r="313" s="19" customFormat="1" spans="1:37">
      <c r="A313" s="19">
        <v>4102203</v>
      </c>
      <c r="B313" s="19">
        <v>4102201</v>
      </c>
      <c r="C313" s="19" t="s">
        <v>656</v>
      </c>
      <c r="D313" s="19" t="s">
        <v>657</v>
      </c>
      <c r="E313" s="61">
        <v>4102201</v>
      </c>
      <c r="F313" s="19">
        <v>2</v>
      </c>
      <c r="G313" s="19">
        <v>3</v>
      </c>
      <c r="H313" s="19" t="s">
        <v>138</v>
      </c>
      <c r="I313" s="19">
        <v>2</v>
      </c>
      <c r="K313" s="19">
        <v>3</v>
      </c>
      <c r="L313" s="19">
        <v>350</v>
      </c>
      <c r="M313" s="19">
        <v>2</v>
      </c>
      <c r="N313" s="19">
        <v>1</v>
      </c>
      <c r="O313" s="19">
        <v>0</v>
      </c>
      <c r="P313" s="19">
        <v>2</v>
      </c>
      <c r="Q313" s="19">
        <v>4102201</v>
      </c>
      <c r="U313" s="19">
        <v>0</v>
      </c>
      <c r="V313" s="19">
        <v>15000</v>
      </c>
      <c r="W313" s="19">
        <v>0</v>
      </c>
      <c r="X313" s="19">
        <v>0</v>
      </c>
      <c r="Y313" s="19">
        <v>4000</v>
      </c>
      <c r="Z313" s="19">
        <v>4050</v>
      </c>
      <c r="AA313" s="19">
        <v>-1</v>
      </c>
      <c r="AB313" s="19" t="s">
        <v>133</v>
      </c>
      <c r="AC313" s="19">
        <v>1</v>
      </c>
      <c r="AD313" s="19">
        <v>1</v>
      </c>
      <c r="AE313" s="19" t="s">
        <v>222</v>
      </c>
      <c r="AF313" s="41"/>
      <c r="AH313" s="6">
        <v>0</v>
      </c>
      <c r="AI313" s="6">
        <v>0</v>
      </c>
      <c r="AJ313" s="19">
        <v>0</v>
      </c>
      <c r="AK313" s="19">
        <v>0</v>
      </c>
    </row>
    <row r="314" s="19" customFormat="1" spans="1:37">
      <c r="A314" s="19">
        <v>4102301</v>
      </c>
      <c r="B314" s="19">
        <v>4102301</v>
      </c>
      <c r="C314" s="19" t="s">
        <v>650</v>
      </c>
      <c r="D314" s="19" t="s">
        <v>660</v>
      </c>
      <c r="E314" s="61">
        <v>4102301</v>
      </c>
      <c r="F314" s="19">
        <v>3</v>
      </c>
      <c r="G314" s="19">
        <v>1</v>
      </c>
      <c r="H314" s="19" t="s">
        <v>661</v>
      </c>
      <c r="I314" s="19">
        <v>0</v>
      </c>
      <c r="K314" s="19">
        <v>0</v>
      </c>
      <c r="L314" s="19">
        <v>0</v>
      </c>
      <c r="M314" s="19">
        <v>0</v>
      </c>
      <c r="N314" s="19">
        <v>0</v>
      </c>
      <c r="O314" s="19">
        <v>0</v>
      </c>
      <c r="P314" s="19">
        <v>0</v>
      </c>
      <c r="Q314" s="19">
        <v>-1</v>
      </c>
      <c r="U314" s="19">
        <v>0</v>
      </c>
      <c r="V314" s="19">
        <v>0</v>
      </c>
      <c r="W314" s="19">
        <v>0</v>
      </c>
      <c r="X314" s="19">
        <v>0</v>
      </c>
      <c r="Y314" s="19">
        <v>0</v>
      </c>
      <c r="Z314" s="19">
        <v>50</v>
      </c>
      <c r="AA314" s="19">
        <v>0</v>
      </c>
      <c r="AC314" s="19">
        <v>0</v>
      </c>
      <c r="AD314" s="3">
        <v>0</v>
      </c>
      <c r="AF314" s="41"/>
      <c r="AH314" s="6">
        <v>0</v>
      </c>
      <c r="AI314" s="6">
        <v>0</v>
      </c>
      <c r="AJ314" s="19">
        <v>0</v>
      </c>
      <c r="AK314" s="61">
        <v>0</v>
      </c>
    </row>
    <row r="315" s="19" customFormat="1" spans="1:37">
      <c r="A315" s="19">
        <v>4102302</v>
      </c>
      <c r="B315" s="19">
        <v>4102301</v>
      </c>
      <c r="C315" s="19" t="s">
        <v>650</v>
      </c>
      <c r="D315" s="19" t="s">
        <v>660</v>
      </c>
      <c r="E315" s="61">
        <v>4102301</v>
      </c>
      <c r="F315" s="19">
        <v>3</v>
      </c>
      <c r="G315" s="19">
        <v>2</v>
      </c>
      <c r="H315" s="19" t="s">
        <v>641</v>
      </c>
      <c r="I315" s="19">
        <v>0</v>
      </c>
      <c r="K315" s="19">
        <v>0</v>
      </c>
      <c r="L315" s="19">
        <v>0</v>
      </c>
      <c r="M315" s="19">
        <v>0</v>
      </c>
      <c r="N315" s="19">
        <v>0</v>
      </c>
      <c r="O315" s="19">
        <v>0</v>
      </c>
      <c r="P315" s="19">
        <v>0</v>
      </c>
      <c r="Q315" s="19">
        <v>-1</v>
      </c>
      <c r="U315" s="19">
        <v>0</v>
      </c>
      <c r="V315" s="19">
        <v>0</v>
      </c>
      <c r="W315" s="19">
        <v>0</v>
      </c>
      <c r="X315" s="19">
        <v>0</v>
      </c>
      <c r="Y315" s="19">
        <v>0</v>
      </c>
      <c r="Z315" s="19">
        <v>50</v>
      </c>
      <c r="AA315" s="19">
        <v>0</v>
      </c>
      <c r="AC315" s="19">
        <v>0</v>
      </c>
      <c r="AD315" s="3">
        <v>0</v>
      </c>
      <c r="AF315" s="41"/>
      <c r="AH315" s="6">
        <v>0</v>
      </c>
      <c r="AI315" s="6">
        <v>0</v>
      </c>
      <c r="AJ315" s="19">
        <v>0</v>
      </c>
      <c r="AK315" s="19">
        <v>0</v>
      </c>
    </row>
    <row r="316" s="19" customFormat="1" spans="1:37">
      <c r="A316" s="19">
        <v>4102303</v>
      </c>
      <c r="B316" s="19">
        <v>4102301</v>
      </c>
      <c r="C316" s="19" t="s">
        <v>650</v>
      </c>
      <c r="D316" s="19" t="s">
        <v>660</v>
      </c>
      <c r="E316" s="61">
        <v>4102301</v>
      </c>
      <c r="F316" s="19">
        <v>3</v>
      </c>
      <c r="G316" s="19">
        <v>3</v>
      </c>
      <c r="H316" s="19" t="s">
        <v>641</v>
      </c>
      <c r="I316" s="19">
        <v>0</v>
      </c>
      <c r="K316" s="19">
        <v>0</v>
      </c>
      <c r="L316" s="19">
        <v>0</v>
      </c>
      <c r="M316" s="19">
        <v>0</v>
      </c>
      <c r="N316" s="19">
        <v>0</v>
      </c>
      <c r="O316" s="19">
        <v>0</v>
      </c>
      <c r="P316" s="19">
        <v>0</v>
      </c>
      <c r="Q316" s="19">
        <v>-1</v>
      </c>
      <c r="U316" s="19">
        <v>0</v>
      </c>
      <c r="V316" s="19">
        <v>0</v>
      </c>
      <c r="W316" s="19">
        <v>0</v>
      </c>
      <c r="X316" s="19">
        <v>0</v>
      </c>
      <c r="Y316" s="19">
        <v>0</v>
      </c>
      <c r="Z316" s="19">
        <v>50</v>
      </c>
      <c r="AA316" s="19">
        <v>0</v>
      </c>
      <c r="AC316" s="19">
        <v>0</v>
      </c>
      <c r="AD316" s="3">
        <v>0</v>
      </c>
      <c r="AF316" s="41"/>
      <c r="AH316" s="6">
        <v>0</v>
      </c>
      <c r="AI316" s="6">
        <v>0</v>
      </c>
      <c r="AJ316" s="19">
        <v>0</v>
      </c>
      <c r="AK316" s="61">
        <v>0</v>
      </c>
    </row>
    <row r="317" s="3" customFormat="1" spans="1:37">
      <c r="A317" s="3">
        <v>4103101</v>
      </c>
      <c r="B317" s="3">
        <v>4103101</v>
      </c>
      <c r="C317" s="3" t="s">
        <v>87</v>
      </c>
      <c r="D317" s="3" t="s">
        <v>662</v>
      </c>
      <c r="F317" s="3">
        <v>1</v>
      </c>
      <c r="G317" s="3">
        <v>1</v>
      </c>
      <c r="I317" s="3">
        <v>7</v>
      </c>
      <c r="J317" s="3" t="s">
        <v>511</v>
      </c>
      <c r="K317" s="3">
        <v>3</v>
      </c>
      <c r="L317" s="3">
        <v>350</v>
      </c>
      <c r="M317" s="3">
        <v>1</v>
      </c>
      <c r="N317" s="3">
        <v>1</v>
      </c>
      <c r="O317" s="3">
        <v>0</v>
      </c>
      <c r="P317" s="3">
        <v>1</v>
      </c>
      <c r="Q317" s="3">
        <v>4103101</v>
      </c>
      <c r="U317" s="9">
        <v>0</v>
      </c>
      <c r="V317" s="3">
        <v>10000</v>
      </c>
      <c r="W317" s="3">
        <f>X317-100</f>
        <v>570</v>
      </c>
      <c r="X317" s="3">
        <v>670</v>
      </c>
      <c r="Y317" s="3">
        <v>830</v>
      </c>
      <c r="Z317" s="3">
        <f>Y317+50</f>
        <v>880</v>
      </c>
      <c r="AA317" s="3">
        <f>1000-Z317</f>
        <v>120</v>
      </c>
      <c r="AC317" s="3">
        <v>2</v>
      </c>
      <c r="AD317" s="3">
        <v>0</v>
      </c>
      <c r="AF317" s="41"/>
      <c r="AH317" s="3">
        <v>0</v>
      </c>
      <c r="AI317" s="3">
        <v>0</v>
      </c>
      <c r="AJ317" s="3">
        <v>0</v>
      </c>
      <c r="AK317" s="3">
        <v>0</v>
      </c>
    </row>
    <row r="318" s="19" customFormat="1" spans="1:37">
      <c r="A318" s="19">
        <v>4103201</v>
      </c>
      <c r="B318" s="19">
        <v>4103201</v>
      </c>
      <c r="C318" s="19" t="s">
        <v>663</v>
      </c>
      <c r="D318" s="19" t="s">
        <v>664</v>
      </c>
      <c r="E318" s="61">
        <v>4103201</v>
      </c>
      <c r="F318" s="19">
        <v>2</v>
      </c>
      <c r="G318" s="19">
        <v>1</v>
      </c>
      <c r="H318" s="19" t="s">
        <v>665</v>
      </c>
      <c r="I318" s="19">
        <v>3</v>
      </c>
      <c r="J318" s="19">
        <v>1</v>
      </c>
      <c r="K318" s="19">
        <v>2</v>
      </c>
      <c r="L318" s="19">
        <v>350</v>
      </c>
      <c r="M318" s="19">
        <v>2</v>
      </c>
      <c r="N318" s="19">
        <v>5</v>
      </c>
      <c r="O318" s="19">
        <v>0</v>
      </c>
      <c r="P318" s="19">
        <v>1</v>
      </c>
      <c r="Q318" s="19">
        <v>4103201</v>
      </c>
      <c r="U318" s="61">
        <v>0</v>
      </c>
      <c r="V318" s="19">
        <v>20000</v>
      </c>
      <c r="W318" s="17">
        <f>X318-100</f>
        <v>820</v>
      </c>
      <c r="X318" s="19">
        <v>920</v>
      </c>
      <c r="Y318" s="19">
        <v>1080</v>
      </c>
      <c r="Z318" s="19">
        <f>Y318+50</f>
        <v>1130</v>
      </c>
      <c r="AA318" s="19">
        <v>-1</v>
      </c>
      <c r="AB318" s="19" t="s">
        <v>133</v>
      </c>
      <c r="AC318" s="19">
        <v>2</v>
      </c>
      <c r="AD318" s="3">
        <v>0</v>
      </c>
      <c r="AF318" s="41"/>
      <c r="AH318" s="6">
        <v>0</v>
      </c>
      <c r="AI318" s="6">
        <v>0</v>
      </c>
      <c r="AJ318" s="19">
        <v>0</v>
      </c>
      <c r="AK318" s="61">
        <v>0</v>
      </c>
    </row>
    <row r="319" s="19" customFormat="1" spans="1:37">
      <c r="A319" s="19">
        <v>4103202</v>
      </c>
      <c r="B319" s="19">
        <v>4103201</v>
      </c>
      <c r="C319" s="19" t="s">
        <v>663</v>
      </c>
      <c r="D319" s="19" t="s">
        <v>664</v>
      </c>
      <c r="E319" s="61">
        <v>4103201</v>
      </c>
      <c r="F319" s="19">
        <v>2</v>
      </c>
      <c r="G319" s="19">
        <v>2</v>
      </c>
      <c r="H319" s="19" t="s">
        <v>291</v>
      </c>
      <c r="I319" s="19">
        <v>3</v>
      </c>
      <c r="J319" s="19">
        <v>1</v>
      </c>
      <c r="K319" s="19">
        <v>2</v>
      </c>
      <c r="L319" s="19">
        <v>350</v>
      </c>
      <c r="M319" s="19">
        <v>2</v>
      </c>
      <c r="N319" s="19">
        <v>5</v>
      </c>
      <c r="O319" s="19">
        <v>0</v>
      </c>
      <c r="P319" s="19">
        <v>1</v>
      </c>
      <c r="Q319" s="19">
        <v>4103201</v>
      </c>
      <c r="U319" s="61">
        <v>0</v>
      </c>
      <c r="V319" s="19">
        <v>28000</v>
      </c>
      <c r="W319" s="17">
        <f t="shared" ref="W319:W324" si="26">X319-100</f>
        <v>820</v>
      </c>
      <c r="X319" s="19">
        <v>920</v>
      </c>
      <c r="Y319" s="19">
        <v>1080</v>
      </c>
      <c r="Z319" s="19">
        <f>Y319+50</f>
        <v>1130</v>
      </c>
      <c r="AA319" s="19">
        <v>-1</v>
      </c>
      <c r="AB319" s="19" t="s">
        <v>133</v>
      </c>
      <c r="AC319" s="19">
        <v>2</v>
      </c>
      <c r="AD319" s="3">
        <v>0</v>
      </c>
      <c r="AF319" s="41"/>
      <c r="AH319" s="6">
        <v>0</v>
      </c>
      <c r="AI319" s="6">
        <v>0</v>
      </c>
      <c r="AJ319" s="19">
        <v>0</v>
      </c>
      <c r="AK319" s="19">
        <v>0</v>
      </c>
    </row>
    <row r="320" s="19" customFormat="1" spans="1:37">
      <c r="A320" s="19">
        <v>4103203</v>
      </c>
      <c r="B320" s="19">
        <v>4103201</v>
      </c>
      <c r="C320" s="19" t="s">
        <v>663</v>
      </c>
      <c r="D320" s="19" t="s">
        <v>664</v>
      </c>
      <c r="E320" s="61">
        <v>4103201</v>
      </c>
      <c r="F320" s="19">
        <v>2</v>
      </c>
      <c r="G320" s="19">
        <v>3</v>
      </c>
      <c r="H320" s="19" t="s">
        <v>291</v>
      </c>
      <c r="I320" s="19">
        <v>3</v>
      </c>
      <c r="J320" s="19">
        <v>1</v>
      </c>
      <c r="K320" s="19">
        <v>2</v>
      </c>
      <c r="L320" s="19">
        <v>350</v>
      </c>
      <c r="M320" s="19">
        <v>2</v>
      </c>
      <c r="N320" s="19">
        <v>5</v>
      </c>
      <c r="O320" s="19">
        <v>0</v>
      </c>
      <c r="P320" s="19">
        <v>1</v>
      </c>
      <c r="Q320" s="19">
        <v>4103201</v>
      </c>
      <c r="U320" s="61">
        <v>0</v>
      </c>
      <c r="V320" s="19">
        <v>36000</v>
      </c>
      <c r="W320" s="17">
        <f t="shared" si="26"/>
        <v>820</v>
      </c>
      <c r="X320" s="19">
        <v>920</v>
      </c>
      <c r="Y320" s="19">
        <v>1080</v>
      </c>
      <c r="Z320" s="19">
        <f>Y320+50</f>
        <v>1130</v>
      </c>
      <c r="AA320" s="19">
        <v>-1</v>
      </c>
      <c r="AB320" s="19" t="s">
        <v>133</v>
      </c>
      <c r="AC320" s="19">
        <v>2</v>
      </c>
      <c r="AD320" s="3">
        <v>0</v>
      </c>
      <c r="AF320" s="41"/>
      <c r="AH320" s="6">
        <v>0</v>
      </c>
      <c r="AI320" s="6">
        <v>0</v>
      </c>
      <c r="AJ320" s="19">
        <v>0</v>
      </c>
      <c r="AK320" s="61">
        <v>0</v>
      </c>
    </row>
    <row r="321" s="19" customFormat="1" spans="1:37">
      <c r="A321" s="19">
        <v>4103301</v>
      </c>
      <c r="B321" s="19">
        <v>4103301</v>
      </c>
      <c r="C321" s="19" t="s">
        <v>666</v>
      </c>
      <c r="D321" s="19" t="s">
        <v>667</v>
      </c>
      <c r="E321" s="61">
        <v>4103301</v>
      </c>
      <c r="F321" s="19">
        <v>3</v>
      </c>
      <c r="G321" s="19">
        <v>1</v>
      </c>
      <c r="H321" s="19" t="s">
        <v>668</v>
      </c>
      <c r="I321" s="19">
        <v>0</v>
      </c>
      <c r="K321" s="19">
        <v>0</v>
      </c>
      <c r="L321" s="19">
        <v>0</v>
      </c>
      <c r="M321" s="19">
        <v>0</v>
      </c>
      <c r="N321" s="19">
        <v>0</v>
      </c>
      <c r="O321" s="19">
        <v>0</v>
      </c>
      <c r="P321" s="19">
        <v>0</v>
      </c>
      <c r="Q321" s="19">
        <v>-1</v>
      </c>
      <c r="S321" s="19" t="s">
        <v>669</v>
      </c>
      <c r="U321" s="61">
        <v>0</v>
      </c>
      <c r="V321" s="19">
        <v>0</v>
      </c>
      <c r="W321" s="19">
        <v>0</v>
      </c>
      <c r="X321" s="19">
        <v>0</v>
      </c>
      <c r="Y321" s="19">
        <v>0</v>
      </c>
      <c r="Z321" s="19">
        <v>0</v>
      </c>
      <c r="AA321" s="19">
        <v>0</v>
      </c>
      <c r="AC321" s="19">
        <v>0</v>
      </c>
      <c r="AD321" s="3">
        <v>0</v>
      </c>
      <c r="AF321" s="41"/>
      <c r="AH321" s="6">
        <v>0</v>
      </c>
      <c r="AI321" s="6">
        <v>0</v>
      </c>
      <c r="AJ321" s="19">
        <v>0</v>
      </c>
      <c r="AK321" s="19">
        <v>0</v>
      </c>
    </row>
    <row r="322" s="19" customFormat="1" spans="1:37">
      <c r="A322" s="19">
        <v>4103302</v>
      </c>
      <c r="B322" s="19">
        <v>4103301</v>
      </c>
      <c r="C322" s="19" t="s">
        <v>666</v>
      </c>
      <c r="D322" s="19" t="s">
        <v>667</v>
      </c>
      <c r="E322" s="61">
        <v>4103301</v>
      </c>
      <c r="F322" s="19">
        <v>3</v>
      </c>
      <c r="G322" s="19">
        <v>2</v>
      </c>
      <c r="H322" s="19" t="s">
        <v>641</v>
      </c>
      <c r="I322" s="19">
        <v>0</v>
      </c>
      <c r="K322" s="19">
        <v>0</v>
      </c>
      <c r="L322" s="19">
        <v>0</v>
      </c>
      <c r="M322" s="19">
        <v>0</v>
      </c>
      <c r="N322" s="19">
        <v>0</v>
      </c>
      <c r="O322" s="19">
        <v>0</v>
      </c>
      <c r="P322" s="19">
        <v>0</v>
      </c>
      <c r="Q322" s="19">
        <v>-1</v>
      </c>
      <c r="S322" s="19" t="s">
        <v>670</v>
      </c>
      <c r="U322" s="61">
        <v>0</v>
      </c>
      <c r="V322" s="19">
        <v>0</v>
      </c>
      <c r="W322" s="19">
        <v>0</v>
      </c>
      <c r="X322" s="19">
        <v>0</v>
      </c>
      <c r="Y322" s="19">
        <v>0</v>
      </c>
      <c r="Z322" s="19">
        <v>0</v>
      </c>
      <c r="AA322" s="19">
        <v>0</v>
      </c>
      <c r="AC322" s="19">
        <v>0</v>
      </c>
      <c r="AD322" s="3">
        <v>0</v>
      </c>
      <c r="AF322" s="41"/>
      <c r="AH322" s="6">
        <v>0</v>
      </c>
      <c r="AI322" s="6">
        <v>0</v>
      </c>
      <c r="AJ322" s="19">
        <v>0</v>
      </c>
      <c r="AK322" s="61">
        <v>0</v>
      </c>
    </row>
    <row r="323" s="19" customFormat="1" spans="1:37">
      <c r="A323" s="19">
        <v>4103303</v>
      </c>
      <c r="B323" s="19">
        <v>4103301</v>
      </c>
      <c r="C323" s="19" t="s">
        <v>666</v>
      </c>
      <c r="D323" s="19" t="s">
        <v>667</v>
      </c>
      <c r="E323" s="61">
        <v>4103301</v>
      </c>
      <c r="F323" s="19">
        <v>3</v>
      </c>
      <c r="G323" s="19">
        <v>3</v>
      </c>
      <c r="H323" s="19" t="s">
        <v>641</v>
      </c>
      <c r="I323" s="19">
        <v>0</v>
      </c>
      <c r="K323" s="19">
        <v>0</v>
      </c>
      <c r="L323" s="19">
        <v>0</v>
      </c>
      <c r="M323" s="19">
        <v>0</v>
      </c>
      <c r="N323" s="19">
        <v>0</v>
      </c>
      <c r="O323" s="19">
        <v>0</v>
      </c>
      <c r="P323" s="19">
        <v>0</v>
      </c>
      <c r="Q323" s="19">
        <v>-1</v>
      </c>
      <c r="S323" s="19" t="s">
        <v>671</v>
      </c>
      <c r="U323" s="61">
        <v>0</v>
      </c>
      <c r="V323" s="19">
        <v>0</v>
      </c>
      <c r="W323" s="19">
        <v>0</v>
      </c>
      <c r="X323" s="19">
        <v>0</v>
      </c>
      <c r="Y323" s="19">
        <v>0</v>
      </c>
      <c r="Z323" s="19">
        <v>0</v>
      </c>
      <c r="AA323" s="19">
        <v>0</v>
      </c>
      <c r="AC323" s="19">
        <v>0</v>
      </c>
      <c r="AD323" s="3">
        <v>0</v>
      </c>
      <c r="AF323" s="41"/>
      <c r="AH323" s="6">
        <v>0</v>
      </c>
      <c r="AI323" s="6">
        <v>0</v>
      </c>
      <c r="AJ323" s="19">
        <v>0</v>
      </c>
      <c r="AK323" s="19">
        <v>0</v>
      </c>
    </row>
    <row r="324" s="3" customFormat="1" spans="1:37">
      <c r="A324" s="3">
        <v>4104101</v>
      </c>
      <c r="B324" s="3">
        <v>4104101</v>
      </c>
      <c r="C324" s="3" t="s">
        <v>87</v>
      </c>
      <c r="D324" s="3" t="s">
        <v>672</v>
      </c>
      <c r="F324" s="3">
        <v>1</v>
      </c>
      <c r="G324" s="3">
        <v>1</v>
      </c>
      <c r="I324" s="3">
        <v>1</v>
      </c>
      <c r="K324" s="3">
        <v>3</v>
      </c>
      <c r="L324" s="3">
        <v>65</v>
      </c>
      <c r="M324" s="3">
        <v>1</v>
      </c>
      <c r="N324" s="3">
        <v>1</v>
      </c>
      <c r="O324" s="3">
        <v>0</v>
      </c>
      <c r="P324" s="3">
        <v>1</v>
      </c>
      <c r="Q324" s="3">
        <v>4104101</v>
      </c>
      <c r="U324" s="9">
        <v>0</v>
      </c>
      <c r="V324" s="3">
        <v>10000</v>
      </c>
      <c r="W324" s="3">
        <f t="shared" si="26"/>
        <v>480</v>
      </c>
      <c r="X324" s="3">
        <v>580</v>
      </c>
      <c r="Y324" s="3">
        <v>750</v>
      </c>
      <c r="Z324" s="3">
        <v>800</v>
      </c>
      <c r="AA324" s="3">
        <f>1000-Z324</f>
        <v>200</v>
      </c>
      <c r="AC324" s="3">
        <v>1</v>
      </c>
      <c r="AD324" s="3">
        <v>0</v>
      </c>
      <c r="AF324" s="41"/>
      <c r="AH324" s="3">
        <v>0</v>
      </c>
      <c r="AI324" s="3">
        <v>0</v>
      </c>
      <c r="AJ324" s="3">
        <v>0</v>
      </c>
      <c r="AK324" s="9">
        <v>0</v>
      </c>
    </row>
    <row r="325" s="19" customFormat="1" spans="1:37">
      <c r="A325" s="19">
        <v>4104201</v>
      </c>
      <c r="B325" s="19">
        <v>4104201</v>
      </c>
      <c r="C325" s="19" t="s">
        <v>673</v>
      </c>
      <c r="D325" s="19" t="s">
        <v>674</v>
      </c>
      <c r="E325" s="61">
        <v>4104201</v>
      </c>
      <c r="F325" s="19">
        <v>3</v>
      </c>
      <c r="G325" s="19">
        <v>1</v>
      </c>
      <c r="H325" s="19" t="s">
        <v>675</v>
      </c>
      <c r="I325" s="19">
        <v>0</v>
      </c>
      <c r="K325" s="19">
        <v>0</v>
      </c>
      <c r="L325" s="19">
        <v>0</v>
      </c>
      <c r="M325" s="19">
        <v>0</v>
      </c>
      <c r="N325" s="19">
        <v>0</v>
      </c>
      <c r="O325" s="19">
        <v>0</v>
      </c>
      <c r="P325" s="19">
        <v>0</v>
      </c>
      <c r="Q325" s="19">
        <v>-1</v>
      </c>
      <c r="S325" s="19" t="s">
        <v>676</v>
      </c>
      <c r="U325" s="61">
        <v>0</v>
      </c>
      <c r="V325" s="19">
        <v>0</v>
      </c>
      <c r="W325" s="19">
        <v>0</v>
      </c>
      <c r="X325" s="19">
        <v>0</v>
      </c>
      <c r="Y325" s="19">
        <v>0</v>
      </c>
      <c r="Z325" s="19">
        <v>0</v>
      </c>
      <c r="AA325" s="19">
        <v>0</v>
      </c>
      <c r="AC325" s="19">
        <v>0</v>
      </c>
      <c r="AD325" s="3">
        <v>0</v>
      </c>
      <c r="AF325" s="41"/>
      <c r="AH325" s="6">
        <v>0</v>
      </c>
      <c r="AI325" s="6">
        <v>0</v>
      </c>
      <c r="AJ325" s="19">
        <v>0</v>
      </c>
      <c r="AK325" s="19">
        <v>0</v>
      </c>
    </row>
    <row r="326" s="19" customFormat="1" spans="1:37">
      <c r="A326" s="19">
        <v>4104202</v>
      </c>
      <c r="B326" s="19">
        <v>4104201</v>
      </c>
      <c r="C326" s="19" t="s">
        <v>673</v>
      </c>
      <c r="D326" s="19" t="s">
        <v>674</v>
      </c>
      <c r="E326" s="61">
        <v>4104201</v>
      </c>
      <c r="F326" s="19">
        <v>3</v>
      </c>
      <c r="G326" s="19">
        <v>2</v>
      </c>
      <c r="H326" s="19" t="s">
        <v>677</v>
      </c>
      <c r="I326" s="19">
        <v>0</v>
      </c>
      <c r="K326" s="19">
        <v>0</v>
      </c>
      <c r="L326" s="19">
        <v>0</v>
      </c>
      <c r="M326" s="19">
        <v>0</v>
      </c>
      <c r="N326" s="19">
        <v>0</v>
      </c>
      <c r="O326" s="19">
        <v>0</v>
      </c>
      <c r="P326" s="19">
        <v>0</v>
      </c>
      <c r="Q326" s="19">
        <v>-1</v>
      </c>
      <c r="S326" s="19" t="s">
        <v>676</v>
      </c>
      <c r="U326" s="61">
        <v>0</v>
      </c>
      <c r="V326" s="19">
        <v>0</v>
      </c>
      <c r="W326" s="19">
        <v>0</v>
      </c>
      <c r="X326" s="19">
        <v>0</v>
      </c>
      <c r="Y326" s="19">
        <v>0</v>
      </c>
      <c r="Z326" s="19">
        <v>0</v>
      </c>
      <c r="AA326" s="19">
        <v>0</v>
      </c>
      <c r="AC326" s="19">
        <v>0</v>
      </c>
      <c r="AD326" s="3">
        <v>0</v>
      </c>
      <c r="AF326" s="41"/>
      <c r="AH326" s="6">
        <v>0</v>
      </c>
      <c r="AI326" s="6">
        <v>0</v>
      </c>
      <c r="AJ326" s="19">
        <v>0</v>
      </c>
      <c r="AK326" s="61">
        <v>0</v>
      </c>
    </row>
    <row r="327" s="19" customFormat="1" spans="1:37">
      <c r="A327" s="19">
        <v>4104203</v>
      </c>
      <c r="B327" s="19">
        <v>4104201</v>
      </c>
      <c r="C327" s="19" t="s">
        <v>673</v>
      </c>
      <c r="D327" s="19" t="s">
        <v>674</v>
      </c>
      <c r="E327" s="61">
        <v>4104201</v>
      </c>
      <c r="F327" s="19">
        <v>3</v>
      </c>
      <c r="G327" s="19">
        <v>3</v>
      </c>
      <c r="H327" s="19" t="s">
        <v>677</v>
      </c>
      <c r="I327" s="19">
        <v>0</v>
      </c>
      <c r="K327" s="19">
        <v>0</v>
      </c>
      <c r="L327" s="19">
        <v>0</v>
      </c>
      <c r="M327" s="19">
        <v>0</v>
      </c>
      <c r="N327" s="19">
        <v>0</v>
      </c>
      <c r="O327" s="19">
        <v>0</v>
      </c>
      <c r="P327" s="19">
        <v>0</v>
      </c>
      <c r="Q327" s="19">
        <v>-1</v>
      </c>
      <c r="S327" s="19" t="s">
        <v>676</v>
      </c>
      <c r="U327" s="61">
        <v>0</v>
      </c>
      <c r="V327" s="19">
        <v>0</v>
      </c>
      <c r="W327" s="19">
        <v>0</v>
      </c>
      <c r="X327" s="19">
        <v>0</v>
      </c>
      <c r="Y327" s="19">
        <v>0</v>
      </c>
      <c r="Z327" s="19">
        <v>0</v>
      </c>
      <c r="AA327" s="19">
        <v>0</v>
      </c>
      <c r="AC327" s="19">
        <v>0</v>
      </c>
      <c r="AD327" s="3">
        <v>0</v>
      </c>
      <c r="AF327" s="41"/>
      <c r="AH327" s="6">
        <v>0</v>
      </c>
      <c r="AI327" s="6">
        <v>0</v>
      </c>
      <c r="AJ327" s="19">
        <v>0</v>
      </c>
      <c r="AK327" s="19">
        <v>0</v>
      </c>
    </row>
    <row r="328" s="19" customFormat="1" spans="1:37">
      <c r="A328" s="19">
        <v>4104301</v>
      </c>
      <c r="B328" s="19">
        <v>4104301</v>
      </c>
      <c r="C328" s="19" t="s">
        <v>678</v>
      </c>
      <c r="D328" s="19" t="s">
        <v>679</v>
      </c>
      <c r="E328" s="61">
        <v>4104301</v>
      </c>
      <c r="F328" s="19">
        <v>3</v>
      </c>
      <c r="G328" s="19">
        <v>1</v>
      </c>
      <c r="H328" s="19" t="s">
        <v>661</v>
      </c>
      <c r="I328" s="19">
        <v>0</v>
      </c>
      <c r="K328" s="19">
        <v>0</v>
      </c>
      <c r="L328" s="19">
        <v>0</v>
      </c>
      <c r="M328" s="19">
        <v>0</v>
      </c>
      <c r="N328" s="19">
        <v>0</v>
      </c>
      <c r="O328" s="19">
        <v>0</v>
      </c>
      <c r="P328" s="19">
        <v>0</v>
      </c>
      <c r="Q328" s="19">
        <v>-1</v>
      </c>
      <c r="S328" s="19" t="s">
        <v>680</v>
      </c>
      <c r="T328" s="19" t="s">
        <v>653</v>
      </c>
      <c r="U328" s="61">
        <v>0</v>
      </c>
      <c r="V328" s="19">
        <v>0</v>
      </c>
      <c r="W328" s="19">
        <v>0</v>
      </c>
      <c r="X328" s="19">
        <v>0</v>
      </c>
      <c r="Y328" s="19">
        <v>0</v>
      </c>
      <c r="Z328" s="19">
        <v>0</v>
      </c>
      <c r="AA328" s="19">
        <v>0</v>
      </c>
      <c r="AC328" s="19">
        <v>0</v>
      </c>
      <c r="AD328" s="3">
        <v>0</v>
      </c>
      <c r="AF328" s="41"/>
      <c r="AH328" s="6">
        <v>0</v>
      </c>
      <c r="AI328" s="6">
        <v>0</v>
      </c>
      <c r="AJ328" s="19">
        <v>0</v>
      </c>
      <c r="AK328" s="61">
        <v>0</v>
      </c>
    </row>
    <row r="329" s="19" customFormat="1" spans="1:37">
      <c r="A329" s="19">
        <v>4104302</v>
      </c>
      <c r="B329" s="19">
        <v>4104301</v>
      </c>
      <c r="C329" s="19" t="s">
        <v>678</v>
      </c>
      <c r="D329" s="19" t="s">
        <v>679</v>
      </c>
      <c r="E329" s="61">
        <v>4104301</v>
      </c>
      <c r="F329" s="19">
        <v>3</v>
      </c>
      <c r="G329" s="19">
        <v>2</v>
      </c>
      <c r="H329" s="19" t="s">
        <v>641</v>
      </c>
      <c r="I329" s="19">
        <v>0</v>
      </c>
      <c r="K329" s="19">
        <v>0</v>
      </c>
      <c r="L329" s="19">
        <v>0</v>
      </c>
      <c r="M329" s="19">
        <v>0</v>
      </c>
      <c r="N329" s="19">
        <v>0</v>
      </c>
      <c r="O329" s="19">
        <v>0</v>
      </c>
      <c r="P329" s="19">
        <v>0</v>
      </c>
      <c r="Q329" s="19">
        <v>-1</v>
      </c>
      <c r="S329" s="19" t="s">
        <v>681</v>
      </c>
      <c r="T329" s="19" t="s">
        <v>653</v>
      </c>
      <c r="U329" s="61">
        <v>0</v>
      </c>
      <c r="V329" s="19">
        <v>0</v>
      </c>
      <c r="W329" s="19">
        <v>0</v>
      </c>
      <c r="X329" s="19">
        <v>0</v>
      </c>
      <c r="Y329" s="19">
        <v>0</v>
      </c>
      <c r="Z329" s="19">
        <v>0</v>
      </c>
      <c r="AA329" s="19">
        <v>0</v>
      </c>
      <c r="AC329" s="19">
        <v>0</v>
      </c>
      <c r="AD329" s="3">
        <v>0</v>
      </c>
      <c r="AF329" s="41"/>
      <c r="AH329" s="6">
        <v>0</v>
      </c>
      <c r="AI329" s="6">
        <v>0</v>
      </c>
      <c r="AJ329" s="19">
        <v>0</v>
      </c>
      <c r="AK329" s="19">
        <v>0</v>
      </c>
    </row>
    <row r="330" s="19" customFormat="1" spans="1:37">
      <c r="A330" s="19">
        <v>4104303</v>
      </c>
      <c r="B330" s="19">
        <v>4104301</v>
      </c>
      <c r="C330" s="19" t="s">
        <v>678</v>
      </c>
      <c r="D330" s="19" t="s">
        <v>679</v>
      </c>
      <c r="E330" s="61">
        <v>4104301</v>
      </c>
      <c r="F330" s="19">
        <v>3</v>
      </c>
      <c r="G330" s="19">
        <v>3</v>
      </c>
      <c r="H330" s="19" t="s">
        <v>641</v>
      </c>
      <c r="I330" s="19">
        <v>0</v>
      </c>
      <c r="K330" s="19">
        <v>0</v>
      </c>
      <c r="L330" s="19">
        <v>0</v>
      </c>
      <c r="M330" s="19">
        <v>0</v>
      </c>
      <c r="N330" s="19">
        <v>0</v>
      </c>
      <c r="O330" s="19">
        <v>0</v>
      </c>
      <c r="P330" s="19">
        <v>0</v>
      </c>
      <c r="Q330" s="19">
        <v>-1</v>
      </c>
      <c r="S330" s="19" t="s">
        <v>682</v>
      </c>
      <c r="T330" s="19" t="s">
        <v>653</v>
      </c>
      <c r="U330" s="61">
        <v>0</v>
      </c>
      <c r="V330" s="19">
        <v>0</v>
      </c>
      <c r="W330" s="19">
        <v>0</v>
      </c>
      <c r="X330" s="19">
        <v>0</v>
      </c>
      <c r="Y330" s="19">
        <v>0</v>
      </c>
      <c r="Z330" s="19">
        <v>0</v>
      </c>
      <c r="AA330" s="19">
        <v>0</v>
      </c>
      <c r="AC330" s="19">
        <v>0</v>
      </c>
      <c r="AD330" s="3">
        <v>0</v>
      </c>
      <c r="AF330" s="41"/>
      <c r="AH330" s="6">
        <v>0</v>
      </c>
      <c r="AI330" s="6">
        <v>0</v>
      </c>
      <c r="AJ330" s="19">
        <v>0</v>
      </c>
      <c r="AK330" s="61">
        <v>0</v>
      </c>
    </row>
    <row r="331" s="3" customFormat="1" spans="1:37">
      <c r="A331" s="3">
        <v>4105101</v>
      </c>
      <c r="B331" s="3">
        <v>4105101</v>
      </c>
      <c r="C331" s="3" t="s">
        <v>87</v>
      </c>
      <c r="D331" s="3" t="s">
        <v>683</v>
      </c>
      <c r="F331" s="3">
        <v>1</v>
      </c>
      <c r="G331" s="3">
        <v>1</v>
      </c>
      <c r="I331" s="3">
        <v>1</v>
      </c>
      <c r="K331" s="3">
        <v>3</v>
      </c>
      <c r="L331" s="3">
        <v>65</v>
      </c>
      <c r="M331" s="3">
        <v>1</v>
      </c>
      <c r="N331" s="3">
        <v>1</v>
      </c>
      <c r="O331" s="3">
        <v>0</v>
      </c>
      <c r="P331" s="3">
        <v>1</v>
      </c>
      <c r="Q331" s="3">
        <v>-1</v>
      </c>
      <c r="U331" s="9">
        <v>0</v>
      </c>
      <c r="V331" s="3">
        <v>10000</v>
      </c>
      <c r="W331" s="3">
        <f>X331-100</f>
        <v>430</v>
      </c>
      <c r="X331" s="3">
        <v>530</v>
      </c>
      <c r="Y331" s="3">
        <v>670</v>
      </c>
      <c r="Z331" s="3">
        <v>720</v>
      </c>
      <c r="AA331" s="3">
        <f>1000-Z331</f>
        <v>280</v>
      </c>
      <c r="AC331" s="3">
        <v>1</v>
      </c>
      <c r="AD331" s="3">
        <v>0</v>
      </c>
      <c r="AF331" s="41"/>
      <c r="AH331" s="3">
        <v>0</v>
      </c>
      <c r="AI331" s="3">
        <v>0</v>
      </c>
      <c r="AJ331" s="3">
        <v>0</v>
      </c>
      <c r="AK331" s="3">
        <v>0</v>
      </c>
    </row>
    <row r="332" s="19" customFormat="1" spans="1:37">
      <c r="A332" s="19">
        <v>4105201</v>
      </c>
      <c r="B332" s="19">
        <v>4105201</v>
      </c>
      <c r="C332" s="19" t="s">
        <v>684</v>
      </c>
      <c r="D332" s="19" t="s">
        <v>685</v>
      </c>
      <c r="E332" s="61">
        <v>4105201</v>
      </c>
      <c r="F332" s="19">
        <v>2</v>
      </c>
      <c r="G332" s="19">
        <v>1</v>
      </c>
      <c r="H332" s="19" t="s">
        <v>686</v>
      </c>
      <c r="I332" s="19">
        <v>4</v>
      </c>
      <c r="K332" s="19">
        <v>2</v>
      </c>
      <c r="L332" s="19">
        <v>100</v>
      </c>
      <c r="M332" s="19">
        <v>1</v>
      </c>
      <c r="N332" s="19">
        <v>1</v>
      </c>
      <c r="O332" s="19">
        <v>0</v>
      </c>
      <c r="P332" s="19">
        <v>1</v>
      </c>
      <c r="Q332" s="19">
        <v>-1</v>
      </c>
      <c r="U332" s="61">
        <v>0</v>
      </c>
      <c r="V332" s="19">
        <v>0</v>
      </c>
      <c r="W332" s="17">
        <f>X332-100</f>
        <v>430</v>
      </c>
      <c r="X332" s="19">
        <v>530</v>
      </c>
      <c r="Y332" s="19">
        <v>670</v>
      </c>
      <c r="Z332" s="19">
        <v>720</v>
      </c>
      <c r="AA332" s="19">
        <v>3000</v>
      </c>
      <c r="AC332" s="19">
        <v>1</v>
      </c>
      <c r="AD332" s="19">
        <v>1</v>
      </c>
      <c r="AE332" s="19" t="s">
        <v>687</v>
      </c>
      <c r="AF332" s="41"/>
      <c r="AH332" s="6">
        <v>0</v>
      </c>
      <c r="AI332" s="6">
        <v>0</v>
      </c>
      <c r="AJ332" s="19">
        <v>0</v>
      </c>
      <c r="AK332" s="61">
        <v>0</v>
      </c>
    </row>
    <row r="333" s="19" customFormat="1" spans="1:37">
      <c r="A333" s="19">
        <v>4105202</v>
      </c>
      <c r="B333" s="19">
        <v>4105201</v>
      </c>
      <c r="C333" s="19" t="s">
        <v>684</v>
      </c>
      <c r="D333" s="19" t="s">
        <v>685</v>
      </c>
      <c r="E333" s="61">
        <v>4105201</v>
      </c>
      <c r="F333" s="19">
        <v>2</v>
      </c>
      <c r="G333" s="19">
        <v>2</v>
      </c>
      <c r="H333" s="19" t="s">
        <v>203</v>
      </c>
      <c r="I333" s="19">
        <v>4</v>
      </c>
      <c r="K333" s="19">
        <v>2</v>
      </c>
      <c r="L333" s="19">
        <v>100</v>
      </c>
      <c r="M333" s="19">
        <v>1</v>
      </c>
      <c r="N333" s="19">
        <v>1</v>
      </c>
      <c r="O333" s="19">
        <v>0</v>
      </c>
      <c r="P333" s="19">
        <v>2</v>
      </c>
      <c r="Q333" s="19">
        <v>-1</v>
      </c>
      <c r="U333" s="61">
        <v>0</v>
      </c>
      <c r="V333" s="19">
        <v>0</v>
      </c>
      <c r="W333" s="17">
        <f>X333-100</f>
        <v>430</v>
      </c>
      <c r="X333" s="19">
        <v>530</v>
      </c>
      <c r="Y333" s="19">
        <v>670</v>
      </c>
      <c r="Z333" s="19">
        <v>720</v>
      </c>
      <c r="AA333" s="19">
        <v>3000</v>
      </c>
      <c r="AC333" s="19">
        <v>1</v>
      </c>
      <c r="AD333" s="19">
        <v>1</v>
      </c>
      <c r="AE333" s="19" t="s">
        <v>687</v>
      </c>
      <c r="AF333" s="41"/>
      <c r="AH333" s="6">
        <v>0</v>
      </c>
      <c r="AI333" s="6">
        <v>0</v>
      </c>
      <c r="AJ333" s="19">
        <v>0</v>
      </c>
      <c r="AK333" s="19">
        <v>0</v>
      </c>
    </row>
    <row r="334" s="19" customFormat="1" spans="1:37">
      <c r="A334" s="19">
        <v>4105203</v>
      </c>
      <c r="B334" s="19">
        <v>4105201</v>
      </c>
      <c r="C334" s="19" t="s">
        <v>684</v>
      </c>
      <c r="D334" s="19" t="s">
        <v>685</v>
      </c>
      <c r="E334" s="61">
        <v>4105201</v>
      </c>
      <c r="F334" s="19">
        <v>2</v>
      </c>
      <c r="G334" s="19">
        <v>3</v>
      </c>
      <c r="H334" s="19" t="s">
        <v>203</v>
      </c>
      <c r="I334" s="19">
        <v>4</v>
      </c>
      <c r="K334" s="19">
        <v>2</v>
      </c>
      <c r="L334" s="19">
        <v>100</v>
      </c>
      <c r="M334" s="19">
        <v>1</v>
      </c>
      <c r="N334" s="19">
        <v>1</v>
      </c>
      <c r="O334" s="19">
        <v>0</v>
      </c>
      <c r="P334" s="19">
        <v>3</v>
      </c>
      <c r="Q334" s="19">
        <v>-1</v>
      </c>
      <c r="U334" s="61">
        <v>0</v>
      </c>
      <c r="V334" s="19">
        <v>0</v>
      </c>
      <c r="W334" s="17">
        <f>X334-100</f>
        <v>430</v>
      </c>
      <c r="X334" s="19">
        <v>530</v>
      </c>
      <c r="Y334" s="19">
        <v>670</v>
      </c>
      <c r="Z334" s="19">
        <v>720</v>
      </c>
      <c r="AA334" s="19">
        <v>3000</v>
      </c>
      <c r="AC334" s="19">
        <v>1</v>
      </c>
      <c r="AD334" s="19">
        <v>1</v>
      </c>
      <c r="AE334" s="19" t="s">
        <v>687</v>
      </c>
      <c r="AF334" s="41"/>
      <c r="AH334" s="6">
        <v>0</v>
      </c>
      <c r="AI334" s="6">
        <v>0</v>
      </c>
      <c r="AJ334" s="19">
        <v>0</v>
      </c>
      <c r="AK334" s="61">
        <v>0</v>
      </c>
    </row>
    <row r="335" s="19" customFormat="1" spans="1:37">
      <c r="A335" s="19">
        <v>4105301</v>
      </c>
      <c r="B335" s="19">
        <v>4105301</v>
      </c>
      <c r="C335" s="19" t="s">
        <v>688</v>
      </c>
      <c r="D335" s="19" t="s">
        <v>689</v>
      </c>
      <c r="E335" s="61">
        <v>4105301</v>
      </c>
      <c r="F335" s="19">
        <v>3</v>
      </c>
      <c r="G335" s="19">
        <v>1</v>
      </c>
      <c r="H335" s="62" t="s">
        <v>690</v>
      </c>
      <c r="I335" s="19">
        <v>0</v>
      </c>
      <c r="K335" s="19">
        <v>0</v>
      </c>
      <c r="L335" s="19">
        <v>0</v>
      </c>
      <c r="M335" s="19">
        <v>0</v>
      </c>
      <c r="N335" s="19">
        <v>0</v>
      </c>
      <c r="O335" s="19">
        <v>0</v>
      </c>
      <c r="P335" s="19">
        <v>0</v>
      </c>
      <c r="Q335" s="19">
        <v>-1</v>
      </c>
      <c r="S335" s="19" t="s">
        <v>691</v>
      </c>
      <c r="U335" s="61">
        <v>0</v>
      </c>
      <c r="V335" s="19">
        <v>0</v>
      </c>
      <c r="W335" s="19">
        <v>0</v>
      </c>
      <c r="X335" s="19">
        <v>0</v>
      </c>
      <c r="Y335" s="19">
        <v>0</v>
      </c>
      <c r="Z335" s="19">
        <v>0</v>
      </c>
      <c r="AA335" s="19">
        <v>0</v>
      </c>
      <c r="AC335" s="19">
        <v>0</v>
      </c>
      <c r="AD335" s="3">
        <v>0</v>
      </c>
      <c r="AF335" s="41"/>
      <c r="AH335" s="6">
        <v>0</v>
      </c>
      <c r="AI335" s="6">
        <v>0</v>
      </c>
      <c r="AJ335" s="19">
        <v>0</v>
      </c>
      <c r="AK335" s="19">
        <v>0</v>
      </c>
    </row>
    <row r="336" s="19" customFormat="1" spans="1:37">
      <c r="A336" s="19">
        <v>4105302</v>
      </c>
      <c r="B336" s="19">
        <v>4105301</v>
      </c>
      <c r="C336" s="19" t="s">
        <v>688</v>
      </c>
      <c r="D336" s="19" t="s">
        <v>689</v>
      </c>
      <c r="E336" s="61">
        <v>4105301</v>
      </c>
      <c r="F336" s="19">
        <v>3</v>
      </c>
      <c r="G336" s="19">
        <v>2</v>
      </c>
      <c r="H336" s="62" t="s">
        <v>641</v>
      </c>
      <c r="I336" s="19">
        <v>0</v>
      </c>
      <c r="K336" s="19">
        <v>0</v>
      </c>
      <c r="L336" s="19">
        <v>0</v>
      </c>
      <c r="M336" s="19">
        <v>0</v>
      </c>
      <c r="N336" s="19">
        <v>0</v>
      </c>
      <c r="O336" s="19">
        <v>0</v>
      </c>
      <c r="P336" s="19">
        <v>0</v>
      </c>
      <c r="Q336" s="19">
        <v>-1</v>
      </c>
      <c r="S336" s="19" t="s">
        <v>692</v>
      </c>
      <c r="U336" s="61">
        <v>0</v>
      </c>
      <c r="V336" s="19">
        <v>0</v>
      </c>
      <c r="W336" s="19">
        <v>0</v>
      </c>
      <c r="X336" s="19">
        <v>0</v>
      </c>
      <c r="Y336" s="19">
        <v>0</v>
      </c>
      <c r="Z336" s="19">
        <v>0</v>
      </c>
      <c r="AA336" s="19">
        <v>0</v>
      </c>
      <c r="AC336" s="19">
        <v>0</v>
      </c>
      <c r="AD336" s="3">
        <v>0</v>
      </c>
      <c r="AF336" s="41"/>
      <c r="AH336" s="6">
        <v>0</v>
      </c>
      <c r="AI336" s="6">
        <v>0</v>
      </c>
      <c r="AJ336" s="19">
        <v>0</v>
      </c>
      <c r="AK336" s="61">
        <v>0</v>
      </c>
    </row>
    <row r="337" s="19" customFormat="1" spans="1:37">
      <c r="A337" s="19">
        <v>4105303</v>
      </c>
      <c r="B337" s="19">
        <v>4105301</v>
      </c>
      <c r="C337" s="19" t="s">
        <v>688</v>
      </c>
      <c r="D337" s="19" t="s">
        <v>689</v>
      </c>
      <c r="E337" s="61">
        <v>4105301</v>
      </c>
      <c r="F337" s="19">
        <v>3</v>
      </c>
      <c r="G337" s="19">
        <v>3</v>
      </c>
      <c r="H337" s="62" t="s">
        <v>641</v>
      </c>
      <c r="I337" s="19">
        <v>0</v>
      </c>
      <c r="K337" s="19">
        <v>0</v>
      </c>
      <c r="L337" s="19">
        <v>0</v>
      </c>
      <c r="M337" s="19">
        <v>0</v>
      </c>
      <c r="N337" s="19">
        <v>0</v>
      </c>
      <c r="O337" s="19">
        <v>0</v>
      </c>
      <c r="P337" s="19">
        <v>0</v>
      </c>
      <c r="Q337" s="19">
        <v>-1</v>
      </c>
      <c r="S337" s="19" t="s">
        <v>693</v>
      </c>
      <c r="U337" s="61">
        <v>0</v>
      </c>
      <c r="V337" s="19">
        <v>0</v>
      </c>
      <c r="W337" s="19">
        <v>0</v>
      </c>
      <c r="X337" s="19">
        <v>0</v>
      </c>
      <c r="Y337" s="19">
        <v>0</v>
      </c>
      <c r="Z337" s="19">
        <v>0</v>
      </c>
      <c r="AA337" s="19">
        <v>0</v>
      </c>
      <c r="AC337" s="19">
        <v>0</v>
      </c>
      <c r="AD337" s="3">
        <v>0</v>
      </c>
      <c r="AF337" s="41"/>
      <c r="AH337" s="6">
        <v>0</v>
      </c>
      <c r="AI337" s="6">
        <v>0</v>
      </c>
      <c r="AJ337" s="19">
        <v>0</v>
      </c>
      <c r="AK337" s="19">
        <v>0</v>
      </c>
    </row>
    <row r="338" s="6" customFormat="1" spans="1:37">
      <c r="A338" s="6">
        <v>4001001</v>
      </c>
      <c r="B338" s="6">
        <v>4001001</v>
      </c>
      <c r="C338" s="6" t="s">
        <v>694</v>
      </c>
      <c r="F338" s="6">
        <v>1</v>
      </c>
      <c r="G338" s="6">
        <v>1</v>
      </c>
      <c r="I338" s="6">
        <v>1</v>
      </c>
      <c r="K338" s="6">
        <v>3</v>
      </c>
      <c r="L338" s="6">
        <v>65</v>
      </c>
      <c r="M338" s="6">
        <v>1</v>
      </c>
      <c r="N338" s="6">
        <v>1</v>
      </c>
      <c r="O338" s="6">
        <v>0</v>
      </c>
      <c r="P338" s="6">
        <v>1</v>
      </c>
      <c r="Q338" s="6">
        <v>4001001</v>
      </c>
      <c r="U338" s="22">
        <v>0</v>
      </c>
      <c r="V338" s="6">
        <v>10000</v>
      </c>
      <c r="W338" s="6">
        <f>X338-100</f>
        <v>230</v>
      </c>
      <c r="X338" s="6">
        <v>330</v>
      </c>
      <c r="Y338" s="6">
        <v>580</v>
      </c>
      <c r="Z338" s="6">
        <f>Y338+50</f>
        <v>630</v>
      </c>
      <c r="AA338" s="22">
        <v>1000</v>
      </c>
      <c r="AC338" s="6">
        <v>1</v>
      </c>
      <c r="AD338" s="3">
        <v>0</v>
      </c>
      <c r="AF338" s="41"/>
      <c r="AH338" s="6">
        <v>0</v>
      </c>
      <c r="AI338" s="6">
        <v>0</v>
      </c>
      <c r="AJ338" s="6">
        <v>0</v>
      </c>
      <c r="AK338" s="22">
        <v>0</v>
      </c>
    </row>
    <row r="339" s="6" customFormat="1" spans="1:37">
      <c r="A339" s="6">
        <v>4001002</v>
      </c>
      <c r="B339" s="6">
        <v>4001002</v>
      </c>
      <c r="C339" s="6" t="s">
        <v>695</v>
      </c>
      <c r="F339" s="6">
        <v>1</v>
      </c>
      <c r="G339" s="6">
        <v>1</v>
      </c>
      <c r="I339" s="6">
        <v>1</v>
      </c>
      <c r="K339" s="6">
        <v>3</v>
      </c>
      <c r="L339" s="6">
        <v>65</v>
      </c>
      <c r="M339" s="6">
        <v>1</v>
      </c>
      <c r="N339" s="6">
        <v>1</v>
      </c>
      <c r="O339" s="6">
        <v>0</v>
      </c>
      <c r="P339" s="6">
        <v>1</v>
      </c>
      <c r="Q339" s="6">
        <v>4001002</v>
      </c>
      <c r="U339" s="22">
        <v>0</v>
      </c>
      <c r="V339" s="6">
        <v>10000</v>
      </c>
      <c r="W339" s="6">
        <f t="shared" ref="W339:W386" si="27">X339-100</f>
        <v>320</v>
      </c>
      <c r="X339" s="6">
        <v>420</v>
      </c>
      <c r="Y339" s="6">
        <v>580</v>
      </c>
      <c r="Z339" s="6">
        <f t="shared" ref="Z339:Z386" si="28">Y339+50</f>
        <v>630</v>
      </c>
      <c r="AA339" s="22">
        <v>1000</v>
      </c>
      <c r="AC339" s="6">
        <v>1</v>
      </c>
      <c r="AD339" s="3">
        <v>0</v>
      </c>
      <c r="AF339" s="41"/>
      <c r="AH339" s="6">
        <v>0</v>
      </c>
      <c r="AI339" s="6">
        <v>0</v>
      </c>
      <c r="AJ339" s="6">
        <v>0</v>
      </c>
      <c r="AK339" s="6">
        <v>0</v>
      </c>
    </row>
    <row r="340" s="6" customFormat="1" spans="1:37">
      <c r="A340" s="6">
        <v>4001003</v>
      </c>
      <c r="B340" s="6">
        <v>4001003</v>
      </c>
      <c r="C340" s="6" t="s">
        <v>696</v>
      </c>
      <c r="F340" s="6">
        <v>1</v>
      </c>
      <c r="G340" s="6">
        <v>1</v>
      </c>
      <c r="I340" s="6">
        <v>1</v>
      </c>
      <c r="K340" s="6">
        <v>3</v>
      </c>
      <c r="L340" s="6">
        <v>65</v>
      </c>
      <c r="M340" s="6">
        <v>1</v>
      </c>
      <c r="N340" s="6">
        <v>1</v>
      </c>
      <c r="O340" s="6">
        <v>0</v>
      </c>
      <c r="P340" s="6">
        <v>1</v>
      </c>
      <c r="Q340" s="6">
        <v>4001003</v>
      </c>
      <c r="U340" s="22">
        <v>0</v>
      </c>
      <c r="V340" s="6">
        <v>10000</v>
      </c>
      <c r="W340" s="6">
        <f t="shared" si="27"/>
        <v>480</v>
      </c>
      <c r="X340" s="6">
        <v>580</v>
      </c>
      <c r="Y340" s="6">
        <v>750</v>
      </c>
      <c r="Z340" s="6">
        <f t="shared" si="28"/>
        <v>800</v>
      </c>
      <c r="AA340" s="22">
        <v>1000</v>
      </c>
      <c r="AC340" s="6">
        <v>1</v>
      </c>
      <c r="AD340" s="3">
        <v>0</v>
      </c>
      <c r="AF340" s="41"/>
      <c r="AH340" s="6">
        <v>0</v>
      </c>
      <c r="AI340" s="6">
        <v>0</v>
      </c>
      <c r="AJ340" s="6">
        <v>0</v>
      </c>
      <c r="AK340" s="22">
        <v>0</v>
      </c>
    </row>
    <row r="341" s="6" customFormat="1" spans="1:37">
      <c r="A341" s="6">
        <v>4001004</v>
      </c>
      <c r="B341" s="6">
        <v>4001004</v>
      </c>
      <c r="C341" s="6" t="s">
        <v>697</v>
      </c>
      <c r="F341" s="6">
        <v>1</v>
      </c>
      <c r="G341" s="6">
        <v>1</v>
      </c>
      <c r="I341" s="6">
        <v>1</v>
      </c>
      <c r="K341" s="6">
        <v>3</v>
      </c>
      <c r="L341" s="6">
        <v>65</v>
      </c>
      <c r="M341" s="6">
        <v>1</v>
      </c>
      <c r="N341" s="6">
        <v>1</v>
      </c>
      <c r="O341" s="6">
        <v>0</v>
      </c>
      <c r="P341" s="6">
        <v>1</v>
      </c>
      <c r="Q341" s="6">
        <v>4001004</v>
      </c>
      <c r="U341" s="22">
        <v>0</v>
      </c>
      <c r="V341" s="6">
        <v>10000</v>
      </c>
      <c r="W341" s="6">
        <f t="shared" si="27"/>
        <v>480</v>
      </c>
      <c r="X341" s="6">
        <v>580</v>
      </c>
      <c r="Y341" s="6">
        <v>830</v>
      </c>
      <c r="Z341" s="6">
        <f t="shared" si="28"/>
        <v>880</v>
      </c>
      <c r="AA341" s="22">
        <v>1000</v>
      </c>
      <c r="AC341" s="6">
        <v>1</v>
      </c>
      <c r="AD341" s="3">
        <v>0</v>
      </c>
      <c r="AF341" s="41"/>
      <c r="AH341" s="6">
        <v>0</v>
      </c>
      <c r="AI341" s="6">
        <v>0</v>
      </c>
      <c r="AJ341" s="6">
        <v>0</v>
      </c>
      <c r="AK341" s="6">
        <v>0</v>
      </c>
    </row>
    <row r="342" s="6" customFormat="1" spans="1:37">
      <c r="A342" s="6">
        <v>4001006</v>
      </c>
      <c r="B342" s="6">
        <v>4001006</v>
      </c>
      <c r="C342" s="6" t="s">
        <v>698</v>
      </c>
      <c r="F342" s="6">
        <v>1</v>
      </c>
      <c r="G342" s="6">
        <v>1</v>
      </c>
      <c r="I342" s="6">
        <v>1</v>
      </c>
      <c r="K342" s="6">
        <v>3</v>
      </c>
      <c r="L342" s="6">
        <v>65</v>
      </c>
      <c r="M342" s="6">
        <v>1</v>
      </c>
      <c r="N342" s="6">
        <v>1</v>
      </c>
      <c r="O342" s="6">
        <v>0</v>
      </c>
      <c r="P342" s="6">
        <v>1</v>
      </c>
      <c r="Q342" s="6">
        <v>4001006</v>
      </c>
      <c r="U342" s="22">
        <v>0</v>
      </c>
      <c r="V342" s="6">
        <v>10000</v>
      </c>
      <c r="W342" s="6">
        <f t="shared" si="27"/>
        <v>320</v>
      </c>
      <c r="X342" s="6">
        <v>420</v>
      </c>
      <c r="Y342" s="6">
        <v>500</v>
      </c>
      <c r="Z342" s="6">
        <f t="shared" si="28"/>
        <v>550</v>
      </c>
      <c r="AA342" s="22">
        <v>1000</v>
      </c>
      <c r="AC342" s="6">
        <v>1</v>
      </c>
      <c r="AD342" s="3">
        <v>0</v>
      </c>
      <c r="AF342" s="41"/>
      <c r="AH342" s="6">
        <v>0</v>
      </c>
      <c r="AI342" s="6">
        <v>0</v>
      </c>
      <c r="AJ342" s="6">
        <v>0</v>
      </c>
      <c r="AK342" s="22">
        <v>0</v>
      </c>
    </row>
    <row r="343" s="6" customFormat="1" spans="1:37">
      <c r="A343" s="6">
        <v>4001007</v>
      </c>
      <c r="B343" s="6">
        <v>4001007</v>
      </c>
      <c r="C343" s="6" t="s">
        <v>699</v>
      </c>
      <c r="F343" s="6">
        <v>1</v>
      </c>
      <c r="G343" s="6">
        <v>1</v>
      </c>
      <c r="I343" s="6">
        <v>1</v>
      </c>
      <c r="K343" s="6">
        <v>3</v>
      </c>
      <c r="L343" s="6">
        <v>65</v>
      </c>
      <c r="M343" s="6">
        <v>1</v>
      </c>
      <c r="N343" s="6">
        <v>1</v>
      </c>
      <c r="O343" s="6">
        <v>0</v>
      </c>
      <c r="P343" s="6">
        <v>1</v>
      </c>
      <c r="Q343" s="6">
        <v>4001007</v>
      </c>
      <c r="U343" s="22">
        <v>0</v>
      </c>
      <c r="V343" s="6">
        <v>10000</v>
      </c>
      <c r="W343" s="6">
        <f t="shared" si="27"/>
        <v>320</v>
      </c>
      <c r="X343" s="6">
        <v>420</v>
      </c>
      <c r="Y343" s="6">
        <v>500</v>
      </c>
      <c r="Z343" s="6">
        <f t="shared" si="28"/>
        <v>550</v>
      </c>
      <c r="AA343" s="22">
        <v>1000</v>
      </c>
      <c r="AC343" s="6">
        <v>1</v>
      </c>
      <c r="AD343" s="3">
        <v>0</v>
      </c>
      <c r="AF343" s="41"/>
      <c r="AH343" s="6">
        <v>0</v>
      </c>
      <c r="AI343" s="6">
        <v>0</v>
      </c>
      <c r="AJ343" s="6">
        <v>0</v>
      </c>
      <c r="AK343" s="6">
        <v>0</v>
      </c>
    </row>
    <row r="344" s="6" customFormat="1" spans="1:37">
      <c r="A344" s="6">
        <v>4001008</v>
      </c>
      <c r="B344" s="6">
        <v>4001008</v>
      </c>
      <c r="C344" s="6" t="s">
        <v>700</v>
      </c>
      <c r="F344" s="6">
        <v>1</v>
      </c>
      <c r="G344" s="6">
        <v>1</v>
      </c>
      <c r="I344" s="6">
        <v>1</v>
      </c>
      <c r="K344" s="6">
        <v>3</v>
      </c>
      <c r="L344" s="6">
        <v>65</v>
      </c>
      <c r="M344" s="6">
        <v>1</v>
      </c>
      <c r="N344" s="6">
        <v>1</v>
      </c>
      <c r="O344" s="6">
        <v>0</v>
      </c>
      <c r="P344" s="6">
        <v>1</v>
      </c>
      <c r="Q344" s="6">
        <v>4001008</v>
      </c>
      <c r="U344" s="22">
        <v>0</v>
      </c>
      <c r="V344" s="6">
        <v>10000</v>
      </c>
      <c r="W344" s="6">
        <f t="shared" si="27"/>
        <v>320</v>
      </c>
      <c r="X344" s="6">
        <v>420</v>
      </c>
      <c r="Y344" s="6">
        <v>500</v>
      </c>
      <c r="Z344" s="6">
        <f t="shared" si="28"/>
        <v>550</v>
      </c>
      <c r="AA344" s="22">
        <v>1000</v>
      </c>
      <c r="AC344" s="6">
        <v>1</v>
      </c>
      <c r="AD344" s="3">
        <v>0</v>
      </c>
      <c r="AF344" s="41"/>
      <c r="AH344" s="6">
        <v>0</v>
      </c>
      <c r="AI344" s="6">
        <v>0</v>
      </c>
      <c r="AJ344" s="6">
        <v>0</v>
      </c>
      <c r="AK344" s="22">
        <v>0</v>
      </c>
    </row>
    <row r="345" s="6" customFormat="1" spans="1:37">
      <c r="A345" s="6">
        <v>4001009</v>
      </c>
      <c r="B345" s="6">
        <v>4001009</v>
      </c>
      <c r="C345" s="6" t="s">
        <v>701</v>
      </c>
      <c r="F345" s="6">
        <v>1</v>
      </c>
      <c r="G345" s="6">
        <v>1</v>
      </c>
      <c r="I345" s="6">
        <v>1</v>
      </c>
      <c r="K345" s="6">
        <v>3</v>
      </c>
      <c r="L345" s="6">
        <v>65</v>
      </c>
      <c r="M345" s="6">
        <v>1</v>
      </c>
      <c r="N345" s="6">
        <v>1</v>
      </c>
      <c r="O345" s="6">
        <v>0</v>
      </c>
      <c r="P345" s="6">
        <v>1</v>
      </c>
      <c r="Q345" s="6">
        <v>4001009</v>
      </c>
      <c r="U345" s="22">
        <v>0</v>
      </c>
      <c r="V345" s="6">
        <v>10000</v>
      </c>
      <c r="W345" s="6">
        <f t="shared" si="27"/>
        <v>320</v>
      </c>
      <c r="X345" s="6">
        <v>420</v>
      </c>
      <c r="Y345" s="6">
        <v>670</v>
      </c>
      <c r="Z345" s="6">
        <f t="shared" si="28"/>
        <v>720</v>
      </c>
      <c r="AA345" s="22">
        <v>1000</v>
      </c>
      <c r="AC345" s="6">
        <v>1</v>
      </c>
      <c r="AD345" s="3">
        <v>0</v>
      </c>
      <c r="AF345" s="41"/>
      <c r="AH345" s="6">
        <v>0</v>
      </c>
      <c r="AI345" s="6">
        <v>0</v>
      </c>
      <c r="AJ345" s="6">
        <v>0</v>
      </c>
      <c r="AK345" s="6">
        <v>0</v>
      </c>
    </row>
    <row r="346" s="6" customFormat="1" spans="1:37">
      <c r="A346" s="6">
        <v>4001010</v>
      </c>
      <c r="B346" s="6">
        <v>4001010</v>
      </c>
      <c r="C346" s="6" t="s">
        <v>702</v>
      </c>
      <c r="F346" s="6">
        <v>1</v>
      </c>
      <c r="G346" s="6">
        <v>1</v>
      </c>
      <c r="I346" s="6">
        <v>1</v>
      </c>
      <c r="K346" s="6">
        <v>3</v>
      </c>
      <c r="L346" s="6">
        <v>65</v>
      </c>
      <c r="M346" s="6">
        <v>1</v>
      </c>
      <c r="N346" s="6">
        <v>1</v>
      </c>
      <c r="O346" s="6">
        <v>0</v>
      </c>
      <c r="P346" s="6">
        <v>1</v>
      </c>
      <c r="Q346" s="6">
        <v>4001010</v>
      </c>
      <c r="U346" s="22">
        <v>0</v>
      </c>
      <c r="V346" s="6">
        <v>10000</v>
      </c>
      <c r="W346" s="6">
        <f t="shared" si="27"/>
        <v>230</v>
      </c>
      <c r="X346" s="6">
        <v>330</v>
      </c>
      <c r="Y346" s="6">
        <v>580</v>
      </c>
      <c r="Z346" s="6">
        <f t="shared" si="28"/>
        <v>630</v>
      </c>
      <c r="AA346" s="22">
        <v>1000</v>
      </c>
      <c r="AC346" s="6">
        <v>1</v>
      </c>
      <c r="AD346" s="3">
        <v>0</v>
      </c>
      <c r="AF346" s="41"/>
      <c r="AH346" s="6">
        <v>0</v>
      </c>
      <c r="AI346" s="6">
        <v>0</v>
      </c>
      <c r="AJ346" s="6">
        <v>0</v>
      </c>
      <c r="AK346" s="22">
        <v>0</v>
      </c>
    </row>
    <row r="347" s="6" customFormat="1" spans="1:37">
      <c r="A347" s="6">
        <v>4001011</v>
      </c>
      <c r="B347" s="6">
        <v>4001011</v>
      </c>
      <c r="C347" s="6" t="s">
        <v>703</v>
      </c>
      <c r="F347" s="6">
        <v>1</v>
      </c>
      <c r="G347" s="6">
        <v>1</v>
      </c>
      <c r="I347" s="6">
        <v>1</v>
      </c>
      <c r="K347" s="6">
        <v>3</v>
      </c>
      <c r="L347" s="6">
        <v>65</v>
      </c>
      <c r="M347" s="6">
        <v>1</v>
      </c>
      <c r="N347" s="6">
        <v>1</v>
      </c>
      <c r="O347" s="6">
        <v>0</v>
      </c>
      <c r="P347" s="6">
        <v>1</v>
      </c>
      <c r="Q347" s="6">
        <v>4001011</v>
      </c>
      <c r="U347" s="22">
        <v>0</v>
      </c>
      <c r="V347" s="6">
        <v>10000</v>
      </c>
      <c r="W347" s="6">
        <v>400</v>
      </c>
      <c r="X347" s="6" t="s">
        <v>704</v>
      </c>
      <c r="Y347" s="6">
        <v>920</v>
      </c>
      <c r="Z347" s="6">
        <f t="shared" si="28"/>
        <v>970</v>
      </c>
      <c r="AA347" s="22">
        <v>1000</v>
      </c>
      <c r="AC347" s="6">
        <v>1</v>
      </c>
      <c r="AD347" s="3">
        <v>0</v>
      </c>
      <c r="AF347" s="41"/>
      <c r="AH347" s="6">
        <v>0</v>
      </c>
      <c r="AI347" s="6">
        <v>0</v>
      </c>
      <c r="AJ347" s="6">
        <v>0</v>
      </c>
      <c r="AK347" s="6">
        <v>0</v>
      </c>
    </row>
    <row r="348" s="6" customFormat="1" spans="1:37">
      <c r="A348" s="6">
        <v>4001012</v>
      </c>
      <c r="B348" s="6">
        <v>4001012</v>
      </c>
      <c r="C348" s="63" t="s">
        <v>705</v>
      </c>
      <c r="F348" s="6">
        <v>1</v>
      </c>
      <c r="G348" s="6">
        <v>1</v>
      </c>
      <c r="I348" s="6">
        <v>1</v>
      </c>
      <c r="K348" s="6">
        <v>3</v>
      </c>
      <c r="L348" s="6">
        <v>65</v>
      </c>
      <c r="M348" s="6">
        <v>1</v>
      </c>
      <c r="N348" s="6">
        <v>1</v>
      </c>
      <c r="O348" s="6">
        <v>0</v>
      </c>
      <c r="P348" s="6">
        <v>1</v>
      </c>
      <c r="Q348" s="6">
        <v>4001012</v>
      </c>
      <c r="U348" s="22">
        <v>0</v>
      </c>
      <c r="V348" s="6">
        <v>10000</v>
      </c>
      <c r="W348" s="6">
        <f t="shared" si="27"/>
        <v>400</v>
      </c>
      <c r="X348" s="6">
        <v>500</v>
      </c>
      <c r="Y348" s="6">
        <v>920</v>
      </c>
      <c r="Z348" s="6">
        <f t="shared" si="28"/>
        <v>970</v>
      </c>
      <c r="AA348" s="22">
        <v>1000</v>
      </c>
      <c r="AC348" s="6">
        <v>1</v>
      </c>
      <c r="AD348" s="3">
        <v>0</v>
      </c>
      <c r="AF348" s="41"/>
      <c r="AH348" s="6">
        <v>0</v>
      </c>
      <c r="AI348" s="6">
        <v>0</v>
      </c>
      <c r="AJ348" s="6">
        <v>0</v>
      </c>
      <c r="AK348" s="22">
        <v>0</v>
      </c>
    </row>
    <row r="349" s="6" customFormat="1" spans="1:37">
      <c r="A349" s="6">
        <v>4001013</v>
      </c>
      <c r="B349" s="6">
        <v>4001013</v>
      </c>
      <c r="C349" s="6" t="s">
        <v>706</v>
      </c>
      <c r="F349" s="6">
        <v>1</v>
      </c>
      <c r="G349" s="6">
        <v>1</v>
      </c>
      <c r="I349" s="6">
        <v>1</v>
      </c>
      <c r="K349" s="6">
        <v>3</v>
      </c>
      <c r="L349" s="6">
        <v>65</v>
      </c>
      <c r="M349" s="6">
        <v>1</v>
      </c>
      <c r="N349" s="6">
        <v>1</v>
      </c>
      <c r="O349" s="6">
        <v>0</v>
      </c>
      <c r="P349" s="6">
        <v>1</v>
      </c>
      <c r="Q349" s="6">
        <v>4001013</v>
      </c>
      <c r="U349" s="22">
        <v>0</v>
      </c>
      <c r="V349" s="6">
        <v>10000</v>
      </c>
      <c r="W349" s="6">
        <f t="shared" si="27"/>
        <v>400</v>
      </c>
      <c r="X349" s="6">
        <v>500</v>
      </c>
      <c r="Y349" s="6">
        <v>670</v>
      </c>
      <c r="Z349" s="6">
        <f t="shared" si="28"/>
        <v>720</v>
      </c>
      <c r="AA349" s="22">
        <v>1000</v>
      </c>
      <c r="AC349" s="6">
        <v>1</v>
      </c>
      <c r="AD349" s="3">
        <v>0</v>
      </c>
      <c r="AF349" s="41"/>
      <c r="AH349" s="6">
        <v>0</v>
      </c>
      <c r="AI349" s="6">
        <v>0</v>
      </c>
      <c r="AJ349" s="6">
        <v>0</v>
      </c>
      <c r="AK349" s="6">
        <v>0</v>
      </c>
    </row>
    <row r="350" s="6" customFormat="1" spans="1:37">
      <c r="A350" s="6">
        <v>4001014</v>
      </c>
      <c r="B350" s="6">
        <v>4001014</v>
      </c>
      <c r="C350" s="6" t="s">
        <v>707</v>
      </c>
      <c r="F350" s="6">
        <v>1</v>
      </c>
      <c r="G350" s="6">
        <v>1</v>
      </c>
      <c r="I350" s="6">
        <v>1</v>
      </c>
      <c r="K350" s="6">
        <v>3</v>
      </c>
      <c r="L350" s="6">
        <v>65</v>
      </c>
      <c r="M350" s="6">
        <v>1</v>
      </c>
      <c r="N350" s="6">
        <v>1</v>
      </c>
      <c r="O350" s="6">
        <v>0</v>
      </c>
      <c r="P350" s="6">
        <v>1</v>
      </c>
      <c r="Q350" s="6">
        <v>4001014</v>
      </c>
      <c r="U350" s="22">
        <v>0</v>
      </c>
      <c r="V350" s="6">
        <v>10000</v>
      </c>
      <c r="W350" s="6">
        <f t="shared" si="27"/>
        <v>400</v>
      </c>
      <c r="X350" s="6">
        <v>500</v>
      </c>
      <c r="Y350" s="6">
        <v>670</v>
      </c>
      <c r="Z350" s="6">
        <f t="shared" si="28"/>
        <v>720</v>
      </c>
      <c r="AA350" s="22">
        <v>1000</v>
      </c>
      <c r="AC350" s="6">
        <v>1</v>
      </c>
      <c r="AD350" s="3">
        <v>0</v>
      </c>
      <c r="AF350" s="41"/>
      <c r="AH350" s="6">
        <v>0</v>
      </c>
      <c r="AI350" s="6">
        <v>0</v>
      </c>
      <c r="AJ350" s="6">
        <v>0</v>
      </c>
      <c r="AK350" s="22">
        <v>0</v>
      </c>
    </row>
    <row r="351" s="6" customFormat="1" spans="1:37">
      <c r="A351" s="6">
        <v>4001015</v>
      </c>
      <c r="B351" s="6">
        <v>4001015</v>
      </c>
      <c r="C351" s="6" t="s">
        <v>708</v>
      </c>
      <c r="F351" s="6">
        <v>1</v>
      </c>
      <c r="G351" s="6">
        <v>1</v>
      </c>
      <c r="I351" s="6">
        <v>1</v>
      </c>
      <c r="K351" s="6">
        <v>3</v>
      </c>
      <c r="L351" s="6">
        <v>65</v>
      </c>
      <c r="M351" s="6">
        <v>1</v>
      </c>
      <c r="N351" s="6">
        <v>1</v>
      </c>
      <c r="O351" s="6">
        <v>0</v>
      </c>
      <c r="P351" s="6">
        <v>1</v>
      </c>
      <c r="Q351" s="6">
        <v>4001015</v>
      </c>
      <c r="U351" s="22">
        <v>0</v>
      </c>
      <c r="V351" s="6">
        <v>10000</v>
      </c>
      <c r="W351" s="6">
        <f t="shared" si="27"/>
        <v>570</v>
      </c>
      <c r="X351" s="6">
        <v>670</v>
      </c>
      <c r="Y351" s="6">
        <v>920</v>
      </c>
      <c r="Z351" s="6">
        <f t="shared" si="28"/>
        <v>970</v>
      </c>
      <c r="AA351" s="22">
        <v>1000</v>
      </c>
      <c r="AC351" s="6">
        <v>1</v>
      </c>
      <c r="AD351" s="3">
        <v>0</v>
      </c>
      <c r="AF351" s="41"/>
      <c r="AH351" s="6">
        <v>0</v>
      </c>
      <c r="AI351" s="6">
        <v>0</v>
      </c>
      <c r="AJ351" s="6">
        <v>0</v>
      </c>
      <c r="AK351" s="6">
        <v>0</v>
      </c>
    </row>
    <row r="352" s="16" customFormat="1" spans="1:37">
      <c r="A352" s="6">
        <v>4001016</v>
      </c>
      <c r="B352" s="6">
        <v>4001016</v>
      </c>
      <c r="C352" s="6" t="s">
        <v>709</v>
      </c>
      <c r="F352" s="16">
        <v>1</v>
      </c>
      <c r="G352" s="16">
        <v>1</v>
      </c>
      <c r="I352" s="16">
        <v>7</v>
      </c>
      <c r="J352" s="16" t="s">
        <v>710</v>
      </c>
      <c r="K352" s="16">
        <v>3</v>
      </c>
      <c r="L352" s="16">
        <v>250</v>
      </c>
      <c r="M352" s="16">
        <v>1</v>
      </c>
      <c r="N352" s="16">
        <v>1</v>
      </c>
      <c r="O352" s="16">
        <v>0</v>
      </c>
      <c r="P352" s="16">
        <v>1</v>
      </c>
      <c r="Q352" s="16">
        <v>4001016</v>
      </c>
      <c r="U352" s="16">
        <v>0</v>
      </c>
      <c r="V352" s="16">
        <v>10000</v>
      </c>
      <c r="W352" s="6">
        <f t="shared" si="27"/>
        <v>650</v>
      </c>
      <c r="X352" s="16">
        <v>750</v>
      </c>
      <c r="Y352" s="16">
        <v>830</v>
      </c>
      <c r="Z352" s="6">
        <f t="shared" si="28"/>
        <v>880</v>
      </c>
      <c r="AA352" s="22">
        <v>1000</v>
      </c>
      <c r="AC352" s="16">
        <v>2</v>
      </c>
      <c r="AD352" s="3">
        <v>0</v>
      </c>
      <c r="AF352" s="23"/>
      <c r="AH352" s="6">
        <v>0</v>
      </c>
      <c r="AI352" s="6">
        <v>0</v>
      </c>
      <c r="AJ352" s="16">
        <v>0</v>
      </c>
      <c r="AK352" s="22">
        <v>0</v>
      </c>
    </row>
    <row r="353" s="20" customFormat="1" spans="1:37">
      <c r="A353" s="6">
        <v>4001017</v>
      </c>
      <c r="B353" s="6">
        <v>4001017</v>
      </c>
      <c r="C353" s="6" t="s">
        <v>711</v>
      </c>
      <c r="D353" s="16"/>
      <c r="E353" s="16"/>
      <c r="F353" s="6">
        <v>1</v>
      </c>
      <c r="G353" s="16">
        <v>1</v>
      </c>
      <c r="H353" s="16"/>
      <c r="I353" s="16">
        <v>1</v>
      </c>
      <c r="J353" s="6"/>
      <c r="K353" s="6">
        <v>3</v>
      </c>
      <c r="L353" s="6">
        <v>65</v>
      </c>
      <c r="M353" s="6">
        <v>1</v>
      </c>
      <c r="N353" s="6">
        <v>1</v>
      </c>
      <c r="O353" s="6">
        <v>0</v>
      </c>
      <c r="P353" s="6">
        <v>1</v>
      </c>
      <c r="Q353" s="6">
        <v>4001017</v>
      </c>
      <c r="R353" s="6"/>
      <c r="S353" s="6"/>
      <c r="T353" s="6"/>
      <c r="U353" s="16">
        <v>0</v>
      </c>
      <c r="V353" s="16">
        <v>10000</v>
      </c>
      <c r="W353" s="6">
        <f t="shared" si="27"/>
        <v>400</v>
      </c>
      <c r="X353" s="16">
        <v>500</v>
      </c>
      <c r="Y353" s="16">
        <v>830</v>
      </c>
      <c r="Z353" s="6">
        <f t="shared" si="28"/>
        <v>880</v>
      </c>
      <c r="AA353" s="22">
        <v>1000</v>
      </c>
      <c r="AB353" s="16"/>
      <c r="AC353" s="16">
        <v>1</v>
      </c>
      <c r="AD353" s="3">
        <v>0</v>
      </c>
      <c r="AE353" s="16"/>
      <c r="AF353" s="23"/>
      <c r="AG353" s="16"/>
      <c r="AH353" s="6">
        <v>0</v>
      </c>
      <c r="AI353" s="6">
        <v>0</v>
      </c>
      <c r="AJ353" s="16">
        <v>0</v>
      </c>
      <c r="AK353" s="6">
        <v>0</v>
      </c>
    </row>
    <row r="354" s="6" customFormat="1" spans="1:37">
      <c r="A354" s="6">
        <v>4001018</v>
      </c>
      <c r="B354" s="6">
        <v>4001018</v>
      </c>
      <c r="C354" s="6" t="s">
        <v>712</v>
      </c>
      <c r="F354" s="6">
        <v>1</v>
      </c>
      <c r="G354" s="6">
        <v>1</v>
      </c>
      <c r="I354" s="6">
        <v>1</v>
      </c>
      <c r="K354" s="6">
        <v>3</v>
      </c>
      <c r="L354" s="6">
        <v>65</v>
      </c>
      <c r="M354" s="6">
        <v>1</v>
      </c>
      <c r="N354" s="6">
        <v>1</v>
      </c>
      <c r="O354" s="6">
        <v>0</v>
      </c>
      <c r="P354" s="6">
        <v>1</v>
      </c>
      <c r="Q354" s="6">
        <v>4001018</v>
      </c>
      <c r="U354" s="22">
        <v>0</v>
      </c>
      <c r="V354" s="6">
        <v>10000</v>
      </c>
      <c r="W354" s="6">
        <f t="shared" si="27"/>
        <v>480</v>
      </c>
      <c r="X354" s="6">
        <v>580</v>
      </c>
      <c r="Y354" s="6">
        <v>750</v>
      </c>
      <c r="Z354" s="6">
        <f t="shared" si="28"/>
        <v>800</v>
      </c>
      <c r="AA354" s="22">
        <v>1000</v>
      </c>
      <c r="AC354" s="6">
        <v>1</v>
      </c>
      <c r="AD354" s="3">
        <v>0</v>
      </c>
      <c r="AF354" s="41"/>
      <c r="AH354" s="6">
        <v>0</v>
      </c>
      <c r="AI354" s="6">
        <v>0</v>
      </c>
      <c r="AJ354" s="6">
        <v>0</v>
      </c>
      <c r="AK354" s="22">
        <v>0</v>
      </c>
    </row>
    <row r="355" s="6" customFormat="1" spans="1:37">
      <c r="A355" s="6">
        <v>4001019</v>
      </c>
      <c r="B355" s="6">
        <v>4001019</v>
      </c>
      <c r="C355" s="64" t="s">
        <v>713</v>
      </c>
      <c r="F355" s="16">
        <v>1</v>
      </c>
      <c r="G355" s="16">
        <v>1</v>
      </c>
      <c r="H355" s="16"/>
      <c r="I355" s="16">
        <v>7</v>
      </c>
      <c r="J355" s="16" t="s">
        <v>714</v>
      </c>
      <c r="K355" s="16">
        <v>3</v>
      </c>
      <c r="L355" s="6">
        <v>400</v>
      </c>
      <c r="M355" s="16">
        <v>1</v>
      </c>
      <c r="N355" s="6">
        <v>1</v>
      </c>
      <c r="O355" s="6">
        <v>0</v>
      </c>
      <c r="P355" s="6">
        <v>1</v>
      </c>
      <c r="Q355" s="6">
        <v>4001019</v>
      </c>
      <c r="U355" s="22">
        <v>0</v>
      </c>
      <c r="V355" s="6">
        <v>10000</v>
      </c>
      <c r="W355" s="6">
        <f t="shared" si="27"/>
        <v>480</v>
      </c>
      <c r="X355" s="6">
        <v>580</v>
      </c>
      <c r="Y355" s="6">
        <v>1080</v>
      </c>
      <c r="Z355" s="6">
        <f t="shared" si="28"/>
        <v>1130</v>
      </c>
      <c r="AA355" s="22">
        <v>1000</v>
      </c>
      <c r="AC355" s="6">
        <v>1</v>
      </c>
      <c r="AD355" s="3">
        <v>0</v>
      </c>
      <c r="AF355" s="41"/>
      <c r="AH355" s="6">
        <v>0</v>
      </c>
      <c r="AI355" s="6">
        <v>0</v>
      </c>
      <c r="AJ355" s="6">
        <v>0</v>
      </c>
      <c r="AK355" s="6">
        <v>0</v>
      </c>
    </row>
    <row r="356" s="6" customFormat="1" spans="1:37">
      <c r="A356" s="6">
        <v>4001020</v>
      </c>
      <c r="B356" s="6">
        <v>4001020</v>
      </c>
      <c r="C356" s="64" t="s">
        <v>715</v>
      </c>
      <c r="F356" s="6">
        <v>1</v>
      </c>
      <c r="G356" s="6">
        <v>1</v>
      </c>
      <c r="I356" s="6">
        <v>7</v>
      </c>
      <c r="J356" s="16" t="s">
        <v>716</v>
      </c>
      <c r="K356" s="6">
        <v>3</v>
      </c>
      <c r="L356" s="6">
        <v>400</v>
      </c>
      <c r="M356" s="6">
        <v>1</v>
      </c>
      <c r="N356" s="6">
        <v>1</v>
      </c>
      <c r="O356" s="6">
        <v>0</v>
      </c>
      <c r="P356" s="6">
        <v>1</v>
      </c>
      <c r="Q356" s="6">
        <v>4001020</v>
      </c>
      <c r="U356" s="22">
        <v>0</v>
      </c>
      <c r="V356" s="6">
        <v>10000</v>
      </c>
      <c r="W356" s="6">
        <f t="shared" si="27"/>
        <v>230</v>
      </c>
      <c r="X356" s="6">
        <v>330</v>
      </c>
      <c r="Y356" s="6">
        <v>580</v>
      </c>
      <c r="Z356" s="6">
        <f t="shared" si="28"/>
        <v>630</v>
      </c>
      <c r="AA356" s="22">
        <v>1000</v>
      </c>
      <c r="AC356" s="6">
        <v>1</v>
      </c>
      <c r="AD356" s="3">
        <v>0</v>
      </c>
      <c r="AF356" s="41"/>
      <c r="AH356" s="6">
        <v>0</v>
      </c>
      <c r="AI356" s="6">
        <v>0</v>
      </c>
      <c r="AJ356" s="6">
        <v>0</v>
      </c>
      <c r="AK356" s="22">
        <v>0</v>
      </c>
    </row>
    <row r="357" s="6" customFormat="1" spans="1:37">
      <c r="A357" s="6">
        <v>4001021</v>
      </c>
      <c r="B357" s="6">
        <v>4001021</v>
      </c>
      <c r="C357" s="6" t="s">
        <v>717</v>
      </c>
      <c r="D357" s="16"/>
      <c r="E357" s="16"/>
      <c r="F357" s="16">
        <v>1</v>
      </c>
      <c r="G357" s="16">
        <v>1</v>
      </c>
      <c r="H357" s="16"/>
      <c r="I357" s="16">
        <v>7</v>
      </c>
      <c r="J357" s="16" t="s">
        <v>710</v>
      </c>
      <c r="K357" s="16">
        <v>3</v>
      </c>
      <c r="L357" s="16">
        <v>250</v>
      </c>
      <c r="M357" s="16">
        <v>1</v>
      </c>
      <c r="N357" s="16">
        <v>1</v>
      </c>
      <c r="O357" s="16">
        <v>0</v>
      </c>
      <c r="P357" s="16">
        <v>1</v>
      </c>
      <c r="Q357" s="16">
        <v>4001021</v>
      </c>
      <c r="R357" s="16"/>
      <c r="S357" s="16"/>
      <c r="T357" s="16"/>
      <c r="U357" s="16">
        <v>0</v>
      </c>
      <c r="V357" s="16">
        <v>10000</v>
      </c>
      <c r="W357" s="6">
        <f t="shared" si="27"/>
        <v>650</v>
      </c>
      <c r="X357" s="16">
        <v>750</v>
      </c>
      <c r="Y357" s="16">
        <v>830</v>
      </c>
      <c r="Z357" s="6">
        <f t="shared" si="28"/>
        <v>880</v>
      </c>
      <c r="AA357" s="22">
        <v>1000</v>
      </c>
      <c r="AB357" s="16"/>
      <c r="AC357" s="16">
        <v>2</v>
      </c>
      <c r="AD357" s="3">
        <v>0</v>
      </c>
      <c r="AE357" s="16"/>
      <c r="AF357" s="23"/>
      <c r="AG357" s="16"/>
      <c r="AH357" s="6">
        <v>0</v>
      </c>
      <c r="AI357" s="6">
        <v>0</v>
      </c>
      <c r="AJ357" s="16">
        <v>0</v>
      </c>
      <c r="AK357" s="6">
        <v>0</v>
      </c>
    </row>
    <row r="358" s="20" customFormat="1" spans="1:37">
      <c r="A358" s="6">
        <v>4001022</v>
      </c>
      <c r="B358" s="6">
        <v>4001022</v>
      </c>
      <c r="C358" s="6" t="s">
        <v>718</v>
      </c>
      <c r="D358" s="16"/>
      <c r="E358" s="16"/>
      <c r="F358" s="6">
        <v>1</v>
      </c>
      <c r="G358" s="16">
        <v>1</v>
      </c>
      <c r="H358" s="16"/>
      <c r="I358" s="16">
        <v>1</v>
      </c>
      <c r="J358" s="6"/>
      <c r="K358" s="6">
        <v>3</v>
      </c>
      <c r="L358" s="6">
        <v>65</v>
      </c>
      <c r="M358" s="6">
        <v>1</v>
      </c>
      <c r="N358" s="6">
        <v>1</v>
      </c>
      <c r="O358" s="6">
        <v>0</v>
      </c>
      <c r="P358" s="6">
        <v>1</v>
      </c>
      <c r="Q358" s="6">
        <v>4001022</v>
      </c>
      <c r="R358" s="6"/>
      <c r="S358" s="6"/>
      <c r="T358" s="6"/>
      <c r="U358" s="16">
        <v>0</v>
      </c>
      <c r="V358" s="16">
        <v>10000</v>
      </c>
      <c r="W358" s="6">
        <f t="shared" si="27"/>
        <v>400</v>
      </c>
      <c r="X358" s="16">
        <v>500</v>
      </c>
      <c r="Y358" s="16">
        <v>830</v>
      </c>
      <c r="Z358" s="6">
        <f t="shared" si="28"/>
        <v>880</v>
      </c>
      <c r="AA358" s="22">
        <v>1000</v>
      </c>
      <c r="AB358" s="16"/>
      <c r="AC358" s="16">
        <v>1</v>
      </c>
      <c r="AD358" s="3">
        <v>0</v>
      </c>
      <c r="AE358" s="16"/>
      <c r="AF358" s="23"/>
      <c r="AG358" s="16"/>
      <c r="AH358" s="6">
        <v>0</v>
      </c>
      <c r="AI358" s="6">
        <v>0</v>
      </c>
      <c r="AJ358" s="16">
        <v>0</v>
      </c>
      <c r="AK358" s="22">
        <v>0</v>
      </c>
    </row>
    <row r="359" s="6" customFormat="1" spans="1:37">
      <c r="A359" s="6">
        <v>4001023</v>
      </c>
      <c r="B359" s="6">
        <v>4001023</v>
      </c>
      <c r="C359" s="6" t="s">
        <v>719</v>
      </c>
      <c r="F359" s="6">
        <v>1</v>
      </c>
      <c r="G359" s="6">
        <v>1</v>
      </c>
      <c r="I359" s="6">
        <v>1</v>
      </c>
      <c r="K359" s="6">
        <v>3</v>
      </c>
      <c r="L359" s="6">
        <v>65</v>
      </c>
      <c r="M359" s="6">
        <v>1</v>
      </c>
      <c r="N359" s="6">
        <v>1</v>
      </c>
      <c r="O359" s="6">
        <v>0</v>
      </c>
      <c r="P359" s="6">
        <v>1</v>
      </c>
      <c r="Q359" s="6">
        <v>4001023</v>
      </c>
      <c r="U359" s="22">
        <v>0</v>
      </c>
      <c r="V359" s="6">
        <v>10000</v>
      </c>
      <c r="W359" s="6">
        <f t="shared" si="27"/>
        <v>480</v>
      </c>
      <c r="X359" s="6">
        <v>580</v>
      </c>
      <c r="Y359" s="6">
        <v>750</v>
      </c>
      <c r="Z359" s="6">
        <f t="shared" si="28"/>
        <v>800</v>
      </c>
      <c r="AA359" s="22">
        <v>1000</v>
      </c>
      <c r="AC359" s="6">
        <v>1</v>
      </c>
      <c r="AD359" s="3">
        <v>0</v>
      </c>
      <c r="AF359" s="41"/>
      <c r="AH359" s="6">
        <v>0</v>
      </c>
      <c r="AI359" s="6">
        <v>0</v>
      </c>
      <c r="AJ359" s="6">
        <v>0</v>
      </c>
      <c r="AK359" s="6">
        <v>0</v>
      </c>
    </row>
    <row r="360" s="6" customFormat="1" spans="1:37">
      <c r="A360" s="6">
        <v>4001024</v>
      </c>
      <c r="B360" s="6">
        <v>4001024</v>
      </c>
      <c r="C360" s="6" t="s">
        <v>720</v>
      </c>
      <c r="F360" s="16">
        <v>1</v>
      </c>
      <c r="G360" s="16">
        <v>1</v>
      </c>
      <c r="H360" s="16"/>
      <c r="I360" s="16">
        <v>7</v>
      </c>
      <c r="J360" s="16" t="s">
        <v>714</v>
      </c>
      <c r="K360" s="16">
        <v>3</v>
      </c>
      <c r="L360" s="16">
        <v>250</v>
      </c>
      <c r="M360" s="16">
        <v>1</v>
      </c>
      <c r="N360" s="6">
        <v>1</v>
      </c>
      <c r="O360" s="6">
        <v>0</v>
      </c>
      <c r="P360" s="6">
        <v>1</v>
      </c>
      <c r="Q360" s="6">
        <v>4001024</v>
      </c>
      <c r="U360" s="22">
        <v>0</v>
      </c>
      <c r="V360" s="6">
        <v>10000</v>
      </c>
      <c r="W360" s="6">
        <f t="shared" si="27"/>
        <v>480</v>
      </c>
      <c r="X360" s="6">
        <v>580</v>
      </c>
      <c r="Y360" s="6">
        <v>1080</v>
      </c>
      <c r="Z360" s="6">
        <f t="shared" si="28"/>
        <v>1130</v>
      </c>
      <c r="AA360" s="22">
        <v>1000</v>
      </c>
      <c r="AC360" s="6">
        <v>2</v>
      </c>
      <c r="AD360" s="3">
        <v>0</v>
      </c>
      <c r="AF360" s="41"/>
      <c r="AH360" s="6">
        <v>0</v>
      </c>
      <c r="AI360" s="6">
        <v>0</v>
      </c>
      <c r="AJ360" s="6">
        <v>0</v>
      </c>
      <c r="AK360" s="22">
        <v>0</v>
      </c>
    </row>
    <row r="361" s="6" customFormat="1" spans="1:37">
      <c r="A361" s="6">
        <v>4001025</v>
      </c>
      <c r="B361" s="6">
        <v>4001025</v>
      </c>
      <c r="C361" s="6" t="s">
        <v>721</v>
      </c>
      <c r="D361" s="16"/>
      <c r="E361" s="16"/>
      <c r="F361" s="16">
        <v>1</v>
      </c>
      <c r="G361" s="16">
        <v>1</v>
      </c>
      <c r="H361" s="16"/>
      <c r="I361" s="16">
        <v>7</v>
      </c>
      <c r="J361" s="16" t="s">
        <v>710</v>
      </c>
      <c r="K361" s="16">
        <v>3</v>
      </c>
      <c r="L361" s="16">
        <v>250</v>
      </c>
      <c r="M361" s="16">
        <v>1</v>
      </c>
      <c r="N361" s="16">
        <v>1</v>
      </c>
      <c r="O361" s="16">
        <v>0</v>
      </c>
      <c r="P361" s="16">
        <v>1</v>
      </c>
      <c r="Q361" s="16">
        <v>4001025</v>
      </c>
      <c r="R361" s="16"/>
      <c r="S361" s="16"/>
      <c r="T361" s="16"/>
      <c r="U361" s="16">
        <v>0</v>
      </c>
      <c r="V361" s="16">
        <v>10000</v>
      </c>
      <c r="W361" s="6">
        <f t="shared" si="27"/>
        <v>650</v>
      </c>
      <c r="X361" s="16">
        <v>750</v>
      </c>
      <c r="Y361" s="16">
        <v>830</v>
      </c>
      <c r="Z361" s="6">
        <f t="shared" si="28"/>
        <v>880</v>
      </c>
      <c r="AA361" s="22">
        <v>1000</v>
      </c>
      <c r="AB361" s="16"/>
      <c r="AC361" s="16">
        <v>2</v>
      </c>
      <c r="AD361" s="3">
        <v>0</v>
      </c>
      <c r="AE361" s="16"/>
      <c r="AF361" s="23"/>
      <c r="AG361" s="16"/>
      <c r="AH361" s="6">
        <v>0</v>
      </c>
      <c r="AI361" s="6">
        <v>0</v>
      </c>
      <c r="AJ361" s="16">
        <v>0</v>
      </c>
      <c r="AK361" s="6">
        <v>0</v>
      </c>
    </row>
    <row r="362" s="20" customFormat="1" spans="1:37">
      <c r="A362" s="6">
        <v>4001026</v>
      </c>
      <c r="B362" s="6">
        <v>4001026</v>
      </c>
      <c r="C362" s="6" t="s">
        <v>722</v>
      </c>
      <c r="D362" s="16"/>
      <c r="E362" s="16"/>
      <c r="F362" s="6">
        <v>1</v>
      </c>
      <c r="G362" s="16">
        <v>1</v>
      </c>
      <c r="H362" s="16"/>
      <c r="I362" s="16">
        <v>1</v>
      </c>
      <c r="J362" s="6"/>
      <c r="K362" s="6">
        <v>3</v>
      </c>
      <c r="L362" s="6">
        <v>65</v>
      </c>
      <c r="M362" s="6">
        <v>1</v>
      </c>
      <c r="N362" s="6">
        <v>1</v>
      </c>
      <c r="O362" s="6">
        <v>0</v>
      </c>
      <c r="P362" s="6">
        <v>1</v>
      </c>
      <c r="Q362" s="6">
        <v>4001026</v>
      </c>
      <c r="R362" s="6"/>
      <c r="S362" s="6"/>
      <c r="T362" s="6"/>
      <c r="U362" s="16">
        <v>0</v>
      </c>
      <c r="V362" s="16">
        <v>10000</v>
      </c>
      <c r="W362" s="6">
        <f t="shared" si="27"/>
        <v>400</v>
      </c>
      <c r="X362" s="16">
        <v>500</v>
      </c>
      <c r="Y362" s="16">
        <v>830</v>
      </c>
      <c r="Z362" s="6">
        <f t="shared" si="28"/>
        <v>880</v>
      </c>
      <c r="AA362" s="22">
        <v>1000</v>
      </c>
      <c r="AB362" s="16"/>
      <c r="AC362" s="16">
        <v>1</v>
      </c>
      <c r="AD362" s="3">
        <v>0</v>
      </c>
      <c r="AE362" s="16"/>
      <c r="AF362" s="23"/>
      <c r="AG362" s="16"/>
      <c r="AH362" s="6">
        <v>0</v>
      </c>
      <c r="AI362" s="6">
        <v>0</v>
      </c>
      <c r="AJ362" s="16">
        <v>0</v>
      </c>
      <c r="AK362" s="22">
        <v>0</v>
      </c>
    </row>
    <row r="363" s="6" customFormat="1" spans="1:37">
      <c r="A363" s="6">
        <v>4001027</v>
      </c>
      <c r="B363" s="6">
        <v>4001027</v>
      </c>
      <c r="C363" s="6" t="s">
        <v>723</v>
      </c>
      <c r="F363" s="6">
        <v>1</v>
      </c>
      <c r="G363" s="6">
        <v>1</v>
      </c>
      <c r="I363" s="6">
        <v>1</v>
      </c>
      <c r="K363" s="6">
        <v>3</v>
      </c>
      <c r="L363" s="6">
        <v>65</v>
      </c>
      <c r="M363" s="6">
        <v>1</v>
      </c>
      <c r="N363" s="6">
        <v>1</v>
      </c>
      <c r="O363" s="6">
        <v>0</v>
      </c>
      <c r="P363" s="6">
        <v>1</v>
      </c>
      <c r="Q363" s="6">
        <v>4001027</v>
      </c>
      <c r="U363" s="22">
        <v>0</v>
      </c>
      <c r="V363" s="6">
        <v>10000</v>
      </c>
      <c r="W363" s="6">
        <f t="shared" si="27"/>
        <v>480</v>
      </c>
      <c r="X363" s="6">
        <v>580</v>
      </c>
      <c r="Y363" s="6">
        <v>750</v>
      </c>
      <c r="Z363" s="6">
        <f t="shared" si="28"/>
        <v>800</v>
      </c>
      <c r="AA363" s="22">
        <v>1000</v>
      </c>
      <c r="AC363" s="6">
        <v>1</v>
      </c>
      <c r="AD363" s="3">
        <v>0</v>
      </c>
      <c r="AF363" s="41"/>
      <c r="AH363" s="6">
        <v>0</v>
      </c>
      <c r="AI363" s="6">
        <v>0</v>
      </c>
      <c r="AJ363" s="6">
        <v>0</v>
      </c>
      <c r="AK363" s="6">
        <v>0</v>
      </c>
    </row>
    <row r="364" s="6" customFormat="1" spans="1:37">
      <c r="A364" s="6">
        <v>4001028</v>
      </c>
      <c r="B364" s="6">
        <v>4001028</v>
      </c>
      <c r="C364" s="6" t="s">
        <v>724</v>
      </c>
      <c r="F364" s="16">
        <v>1</v>
      </c>
      <c r="G364" s="16">
        <v>1</v>
      </c>
      <c r="H364" s="16"/>
      <c r="I364" s="16">
        <v>7</v>
      </c>
      <c r="J364" s="16" t="s">
        <v>714</v>
      </c>
      <c r="K364" s="16">
        <v>3</v>
      </c>
      <c r="L364" s="16">
        <v>250</v>
      </c>
      <c r="M364" s="16">
        <v>1</v>
      </c>
      <c r="N364" s="6">
        <v>1</v>
      </c>
      <c r="O364" s="6">
        <v>0</v>
      </c>
      <c r="P364" s="6">
        <v>1</v>
      </c>
      <c r="Q364" s="6">
        <v>4001028</v>
      </c>
      <c r="U364" s="22">
        <v>0</v>
      </c>
      <c r="V364" s="6">
        <v>10000</v>
      </c>
      <c r="W364" s="6">
        <f t="shared" si="27"/>
        <v>480</v>
      </c>
      <c r="X364" s="6">
        <v>580</v>
      </c>
      <c r="Y364" s="6">
        <v>1080</v>
      </c>
      <c r="Z364" s="6">
        <f t="shared" si="28"/>
        <v>1130</v>
      </c>
      <c r="AA364" s="22">
        <v>1000</v>
      </c>
      <c r="AC364" s="6">
        <v>2</v>
      </c>
      <c r="AD364" s="3">
        <v>0</v>
      </c>
      <c r="AF364" s="41"/>
      <c r="AH364" s="6">
        <v>0</v>
      </c>
      <c r="AI364" s="6">
        <v>0</v>
      </c>
      <c r="AJ364" s="6">
        <v>0</v>
      </c>
      <c r="AK364" s="22">
        <v>0</v>
      </c>
    </row>
    <row r="365" s="6" customFormat="1" spans="1:37">
      <c r="A365" s="6">
        <v>4001501</v>
      </c>
      <c r="B365" s="6">
        <v>4001501</v>
      </c>
      <c r="C365" s="6" t="s">
        <v>725</v>
      </c>
      <c r="D365" s="6" t="s">
        <v>87</v>
      </c>
      <c r="F365" s="6">
        <v>1</v>
      </c>
      <c r="G365" s="6">
        <v>1</v>
      </c>
      <c r="I365" s="6">
        <v>1</v>
      </c>
      <c r="K365" s="6">
        <v>3</v>
      </c>
      <c r="L365" s="6">
        <v>65</v>
      </c>
      <c r="M365" s="6">
        <v>1</v>
      </c>
      <c r="N365" s="6">
        <v>1</v>
      </c>
      <c r="O365" s="6">
        <v>0</v>
      </c>
      <c r="P365" s="6">
        <v>1</v>
      </c>
      <c r="Q365" s="6">
        <f t="shared" ref="Q365:Q385" si="29">B365</f>
        <v>4001501</v>
      </c>
      <c r="U365" s="22">
        <v>0</v>
      </c>
      <c r="V365" s="6">
        <v>10000</v>
      </c>
      <c r="W365" s="6">
        <f t="shared" si="27"/>
        <v>320</v>
      </c>
      <c r="X365" s="6">
        <v>420</v>
      </c>
      <c r="Y365" s="6">
        <v>600</v>
      </c>
      <c r="Z365" s="6">
        <f t="shared" si="28"/>
        <v>650</v>
      </c>
      <c r="AA365" s="22">
        <v>1500</v>
      </c>
      <c r="AC365" s="6">
        <v>2</v>
      </c>
      <c r="AD365" s="3">
        <v>0</v>
      </c>
      <c r="AF365" s="41"/>
      <c r="AH365" s="6">
        <v>0</v>
      </c>
      <c r="AI365" s="6">
        <v>0</v>
      </c>
      <c r="AJ365" s="6">
        <v>0</v>
      </c>
      <c r="AK365" s="6">
        <v>0</v>
      </c>
    </row>
    <row r="366" s="6" customFormat="1" spans="1:37">
      <c r="A366" s="6">
        <v>4001502</v>
      </c>
      <c r="B366" s="6">
        <v>4001502</v>
      </c>
      <c r="C366" s="6" t="s">
        <v>725</v>
      </c>
      <c r="D366" s="6" t="s">
        <v>726</v>
      </c>
      <c r="F366" s="6">
        <v>2</v>
      </c>
      <c r="G366" s="6">
        <v>1</v>
      </c>
      <c r="I366" s="6">
        <v>2</v>
      </c>
      <c r="K366" s="6">
        <v>3</v>
      </c>
      <c r="L366" s="6">
        <v>100</v>
      </c>
      <c r="M366" s="6">
        <v>2</v>
      </c>
      <c r="N366" s="6">
        <v>3</v>
      </c>
      <c r="O366" s="6" t="s">
        <v>100</v>
      </c>
      <c r="P366" s="6">
        <v>10</v>
      </c>
      <c r="Q366" s="6">
        <f t="shared" si="29"/>
        <v>4001502</v>
      </c>
      <c r="U366" s="22">
        <v>0</v>
      </c>
      <c r="V366" s="6">
        <v>20000</v>
      </c>
      <c r="W366" s="6">
        <v>2980</v>
      </c>
      <c r="X366" s="6" t="s">
        <v>727</v>
      </c>
      <c r="Y366" s="6">
        <v>4500</v>
      </c>
      <c r="Z366" s="6">
        <f t="shared" si="28"/>
        <v>4550</v>
      </c>
      <c r="AA366" s="22">
        <v>-1</v>
      </c>
      <c r="AB366" s="6" t="s">
        <v>92</v>
      </c>
      <c r="AC366" s="6">
        <v>2</v>
      </c>
      <c r="AD366" s="3">
        <v>0</v>
      </c>
      <c r="AF366" s="41"/>
      <c r="AH366" s="6">
        <v>0</v>
      </c>
      <c r="AI366" s="6">
        <v>0</v>
      </c>
      <c r="AJ366" s="6">
        <v>0</v>
      </c>
      <c r="AK366" s="6">
        <v>1</v>
      </c>
    </row>
    <row r="367" s="6" customFormat="1" spans="1:37">
      <c r="A367" s="6">
        <v>4001504</v>
      </c>
      <c r="B367" s="6">
        <v>4001504</v>
      </c>
      <c r="C367" s="6" t="s">
        <v>728</v>
      </c>
      <c r="D367" s="6" t="s">
        <v>87</v>
      </c>
      <c r="F367" s="6">
        <v>1</v>
      </c>
      <c r="G367" s="6">
        <v>1</v>
      </c>
      <c r="I367" s="16">
        <v>7</v>
      </c>
      <c r="J367" s="3" t="s">
        <v>280</v>
      </c>
      <c r="K367" s="6">
        <v>3</v>
      </c>
      <c r="L367" s="6">
        <v>250</v>
      </c>
      <c r="M367" s="6">
        <v>1</v>
      </c>
      <c r="N367" s="6">
        <v>1</v>
      </c>
      <c r="O367" s="6">
        <v>0</v>
      </c>
      <c r="P367" s="6">
        <v>1</v>
      </c>
      <c r="Q367" s="6">
        <f t="shared" si="29"/>
        <v>4001504</v>
      </c>
      <c r="U367" s="22">
        <v>0</v>
      </c>
      <c r="V367" s="6">
        <v>10000</v>
      </c>
      <c r="W367" s="6">
        <f>X367-100</f>
        <v>370</v>
      </c>
      <c r="X367" s="6">
        <v>470</v>
      </c>
      <c r="Y367" s="6">
        <v>600</v>
      </c>
      <c r="Z367" s="6">
        <f t="shared" si="28"/>
        <v>650</v>
      </c>
      <c r="AA367" s="22">
        <v>350</v>
      </c>
      <c r="AC367" s="6">
        <v>2</v>
      </c>
      <c r="AD367" s="3">
        <v>0</v>
      </c>
      <c r="AF367" s="41"/>
      <c r="AH367" s="6">
        <v>0</v>
      </c>
      <c r="AI367" s="6">
        <v>0</v>
      </c>
      <c r="AJ367" s="6">
        <v>0</v>
      </c>
      <c r="AK367" s="6">
        <v>0</v>
      </c>
    </row>
    <row r="368" s="6" customFormat="1" spans="1:37">
      <c r="A368" s="6">
        <v>4001505</v>
      </c>
      <c r="B368" s="6">
        <v>4001505</v>
      </c>
      <c r="C368" s="6" t="s">
        <v>728</v>
      </c>
      <c r="D368" s="6" t="s">
        <v>726</v>
      </c>
      <c r="F368" s="6">
        <v>2</v>
      </c>
      <c r="G368" s="6">
        <v>1</v>
      </c>
      <c r="I368" s="6">
        <v>2</v>
      </c>
      <c r="K368" s="6">
        <v>3</v>
      </c>
      <c r="L368" s="6">
        <v>250</v>
      </c>
      <c r="M368" s="6">
        <v>2</v>
      </c>
      <c r="N368" s="6">
        <v>3</v>
      </c>
      <c r="O368" s="6" t="s">
        <v>729</v>
      </c>
      <c r="P368" s="6">
        <v>15</v>
      </c>
      <c r="Q368" s="6">
        <f t="shared" si="29"/>
        <v>4001505</v>
      </c>
      <c r="U368" s="22">
        <v>0</v>
      </c>
      <c r="V368" s="6">
        <v>10000</v>
      </c>
      <c r="W368" s="6">
        <f>X368-100</f>
        <v>1900</v>
      </c>
      <c r="X368" s="6">
        <v>2000</v>
      </c>
      <c r="Y368" s="6">
        <v>2130</v>
      </c>
      <c r="Z368" s="6">
        <f t="shared" si="28"/>
        <v>2180</v>
      </c>
      <c r="AA368" s="22">
        <v>-1</v>
      </c>
      <c r="AB368" s="6" t="s">
        <v>186</v>
      </c>
      <c r="AC368" s="6">
        <v>2</v>
      </c>
      <c r="AD368" s="6">
        <v>1</v>
      </c>
      <c r="AE368" s="6" t="s">
        <v>222</v>
      </c>
      <c r="AF368" s="41"/>
      <c r="AH368" s="6">
        <v>0</v>
      </c>
      <c r="AI368" s="6">
        <v>0</v>
      </c>
      <c r="AJ368" s="6">
        <v>0</v>
      </c>
      <c r="AK368" s="6">
        <v>1</v>
      </c>
    </row>
    <row r="369" s="6" customFormat="1" spans="1:37">
      <c r="A369" s="6">
        <v>4001507</v>
      </c>
      <c r="B369" s="6">
        <v>4001507</v>
      </c>
      <c r="C369" s="6" t="s">
        <v>730</v>
      </c>
      <c r="D369" s="6" t="s">
        <v>87</v>
      </c>
      <c r="F369" s="6">
        <v>1</v>
      </c>
      <c r="G369" s="6">
        <v>1</v>
      </c>
      <c r="I369" s="6">
        <v>1</v>
      </c>
      <c r="K369" s="6">
        <v>3</v>
      </c>
      <c r="L369" s="6">
        <v>65</v>
      </c>
      <c r="M369" s="6">
        <v>1</v>
      </c>
      <c r="N369" s="6">
        <v>1</v>
      </c>
      <c r="O369" s="6">
        <v>0</v>
      </c>
      <c r="P369" s="6">
        <v>1</v>
      </c>
      <c r="Q369" s="6">
        <f t="shared" si="29"/>
        <v>4001507</v>
      </c>
      <c r="U369" s="22">
        <v>0</v>
      </c>
      <c r="V369" s="6">
        <v>10000</v>
      </c>
      <c r="W369" s="6">
        <f>X369-100</f>
        <v>390</v>
      </c>
      <c r="X369" s="6">
        <v>490</v>
      </c>
      <c r="Y369" s="6">
        <v>760</v>
      </c>
      <c r="Z369" s="6">
        <f t="shared" si="28"/>
        <v>810</v>
      </c>
      <c r="AA369" s="22">
        <v>1500</v>
      </c>
      <c r="AC369" s="6">
        <v>2</v>
      </c>
      <c r="AD369" s="3">
        <v>0</v>
      </c>
      <c r="AF369" s="41"/>
      <c r="AH369" s="6">
        <v>0</v>
      </c>
      <c r="AI369" s="6">
        <v>0</v>
      </c>
      <c r="AJ369" s="6">
        <v>0</v>
      </c>
      <c r="AK369" s="6">
        <v>0</v>
      </c>
    </row>
    <row r="370" s="6" customFormat="1" spans="1:37">
      <c r="A370" s="6">
        <v>4001508</v>
      </c>
      <c r="B370" s="6">
        <v>4001508</v>
      </c>
      <c r="C370" s="6" t="s">
        <v>730</v>
      </c>
      <c r="D370" s="6" t="s">
        <v>726</v>
      </c>
      <c r="F370" s="6">
        <v>2</v>
      </c>
      <c r="G370" s="6">
        <v>1</v>
      </c>
      <c r="I370" s="6">
        <v>2</v>
      </c>
      <c r="K370" s="6">
        <v>3</v>
      </c>
      <c r="L370" s="6">
        <v>100</v>
      </c>
      <c r="M370" s="6">
        <v>2</v>
      </c>
      <c r="N370" s="6">
        <v>2</v>
      </c>
      <c r="O370" s="6" t="s">
        <v>157</v>
      </c>
      <c r="P370" s="6">
        <v>10</v>
      </c>
      <c r="Q370" s="6">
        <f t="shared" si="29"/>
        <v>4001508</v>
      </c>
      <c r="U370" s="22">
        <v>0</v>
      </c>
      <c r="V370" s="6">
        <v>12000</v>
      </c>
      <c r="W370" s="6">
        <v>3360</v>
      </c>
      <c r="X370" s="6" t="s">
        <v>731</v>
      </c>
      <c r="Y370" s="6">
        <v>5630</v>
      </c>
      <c r="Z370" s="6">
        <f t="shared" si="28"/>
        <v>5680</v>
      </c>
      <c r="AA370" s="22">
        <v>-1</v>
      </c>
      <c r="AB370" s="6" t="s">
        <v>92</v>
      </c>
      <c r="AC370" s="6">
        <v>2</v>
      </c>
      <c r="AD370" s="3">
        <v>0</v>
      </c>
      <c r="AF370" s="41"/>
      <c r="AH370" s="6">
        <v>0</v>
      </c>
      <c r="AI370" s="6">
        <v>0</v>
      </c>
      <c r="AJ370" s="6">
        <v>0</v>
      </c>
      <c r="AK370" s="6">
        <v>1</v>
      </c>
    </row>
    <row r="371" s="6" customFormat="1" spans="1:37">
      <c r="A371" s="6">
        <v>4001510</v>
      </c>
      <c r="B371" s="6">
        <v>4001510</v>
      </c>
      <c r="C371" s="6" t="s">
        <v>732</v>
      </c>
      <c r="D371" s="6" t="s">
        <v>87</v>
      </c>
      <c r="F371" s="6">
        <v>1</v>
      </c>
      <c r="G371" s="6">
        <v>1</v>
      </c>
      <c r="I371" s="6">
        <v>1</v>
      </c>
      <c r="K371" s="6">
        <v>3</v>
      </c>
      <c r="L371" s="6">
        <v>65</v>
      </c>
      <c r="M371" s="6">
        <v>1</v>
      </c>
      <c r="N371" s="6">
        <v>1</v>
      </c>
      <c r="O371" s="6">
        <v>0</v>
      </c>
      <c r="P371" s="6">
        <v>1</v>
      </c>
      <c r="Q371" s="6">
        <f t="shared" si="29"/>
        <v>4001510</v>
      </c>
      <c r="U371" s="22">
        <v>0</v>
      </c>
      <c r="V371" s="6">
        <v>10000</v>
      </c>
      <c r="W371" s="6">
        <f>X371-100</f>
        <v>320</v>
      </c>
      <c r="X371" s="6">
        <v>420</v>
      </c>
      <c r="Y371" s="6">
        <v>630</v>
      </c>
      <c r="Z371" s="6">
        <f t="shared" si="28"/>
        <v>680</v>
      </c>
      <c r="AA371" s="22">
        <v>1500</v>
      </c>
      <c r="AC371" s="6">
        <v>2</v>
      </c>
      <c r="AD371" s="3">
        <v>0</v>
      </c>
      <c r="AF371" s="41"/>
      <c r="AH371" s="6">
        <v>0</v>
      </c>
      <c r="AI371" s="6">
        <v>0</v>
      </c>
      <c r="AJ371" s="6">
        <v>0</v>
      </c>
      <c r="AK371" s="6">
        <v>0</v>
      </c>
    </row>
    <row r="372" s="21" customFormat="1" spans="1:37">
      <c r="A372" s="21">
        <v>4001511</v>
      </c>
      <c r="B372" s="21">
        <v>4001511</v>
      </c>
      <c r="C372" s="21" t="s">
        <v>732</v>
      </c>
      <c r="D372" s="21" t="s">
        <v>733</v>
      </c>
      <c r="F372" s="21">
        <v>2</v>
      </c>
      <c r="G372" s="21">
        <v>1</v>
      </c>
      <c r="I372" s="21">
        <v>2</v>
      </c>
      <c r="K372" s="21">
        <v>3</v>
      </c>
      <c r="L372" s="21">
        <v>100</v>
      </c>
      <c r="M372" s="21">
        <v>2</v>
      </c>
      <c r="N372" s="21">
        <v>2</v>
      </c>
      <c r="O372" s="21" t="s">
        <v>734</v>
      </c>
      <c r="P372" s="21">
        <v>10</v>
      </c>
      <c r="Q372" s="21">
        <v>-1</v>
      </c>
      <c r="R372" s="21" t="s">
        <v>735</v>
      </c>
      <c r="U372" s="65">
        <v>0</v>
      </c>
      <c r="V372" s="21">
        <v>20000</v>
      </c>
      <c r="W372" s="21">
        <v>3070</v>
      </c>
      <c r="X372" s="21" t="s">
        <v>736</v>
      </c>
      <c r="Y372" s="21">
        <v>3170</v>
      </c>
      <c r="Z372" s="21">
        <f t="shared" si="28"/>
        <v>3220</v>
      </c>
      <c r="AA372" s="65">
        <v>-1</v>
      </c>
      <c r="AB372" s="21" t="s">
        <v>92</v>
      </c>
      <c r="AC372" s="21">
        <v>2</v>
      </c>
      <c r="AD372" s="3">
        <v>0</v>
      </c>
      <c r="AF372" s="41"/>
      <c r="AH372" s="21">
        <v>0</v>
      </c>
      <c r="AI372" s="21">
        <v>0</v>
      </c>
      <c r="AJ372" s="21">
        <v>0</v>
      </c>
      <c r="AK372" s="21">
        <v>1</v>
      </c>
    </row>
    <row r="373" s="6" customFormat="1" spans="1:37">
      <c r="A373" s="6">
        <v>4001513</v>
      </c>
      <c r="B373" s="6">
        <v>4001513</v>
      </c>
      <c r="C373" s="6" t="s">
        <v>737</v>
      </c>
      <c r="D373" s="6" t="s">
        <v>87</v>
      </c>
      <c r="F373" s="6">
        <v>1</v>
      </c>
      <c r="G373" s="6">
        <v>1</v>
      </c>
      <c r="I373" s="6">
        <v>1</v>
      </c>
      <c r="K373" s="6">
        <v>3</v>
      </c>
      <c r="L373" s="6">
        <v>65</v>
      </c>
      <c r="M373" s="6">
        <v>1</v>
      </c>
      <c r="N373" s="6">
        <v>1</v>
      </c>
      <c r="O373" s="6">
        <v>0</v>
      </c>
      <c r="P373" s="6">
        <v>1</v>
      </c>
      <c r="Q373" s="6">
        <f t="shared" si="29"/>
        <v>4001513</v>
      </c>
      <c r="U373" s="22">
        <v>0</v>
      </c>
      <c r="V373" s="6">
        <v>10000</v>
      </c>
      <c r="W373" s="6">
        <f>X373-100</f>
        <v>480</v>
      </c>
      <c r="X373" s="6">
        <v>580</v>
      </c>
      <c r="Y373" s="6">
        <v>920</v>
      </c>
      <c r="Z373" s="6">
        <f t="shared" si="28"/>
        <v>970</v>
      </c>
      <c r="AA373" s="22">
        <v>1500</v>
      </c>
      <c r="AC373" s="6">
        <v>2</v>
      </c>
      <c r="AD373" s="3">
        <v>0</v>
      </c>
      <c r="AF373" s="41"/>
      <c r="AH373" s="6">
        <v>0</v>
      </c>
      <c r="AI373" s="6">
        <v>0</v>
      </c>
      <c r="AJ373" s="6">
        <v>0</v>
      </c>
      <c r="AK373" s="6">
        <v>0</v>
      </c>
    </row>
    <row r="374" s="6" customFormat="1" spans="1:37">
      <c r="A374" s="6">
        <v>4001514</v>
      </c>
      <c r="B374" s="6">
        <v>4001514</v>
      </c>
      <c r="C374" s="6" t="s">
        <v>737</v>
      </c>
      <c r="D374" s="6" t="s">
        <v>726</v>
      </c>
      <c r="F374" s="6">
        <v>2</v>
      </c>
      <c r="G374" s="6">
        <v>1</v>
      </c>
      <c r="I374" s="6">
        <v>2</v>
      </c>
      <c r="K374" s="6">
        <v>3</v>
      </c>
      <c r="L374" s="6">
        <v>100</v>
      </c>
      <c r="M374" s="6">
        <v>2</v>
      </c>
      <c r="N374" s="6">
        <v>2</v>
      </c>
      <c r="O374" s="6" t="s">
        <v>363</v>
      </c>
      <c r="P374" s="6">
        <v>10</v>
      </c>
      <c r="Q374" s="6">
        <f t="shared" si="29"/>
        <v>4001514</v>
      </c>
      <c r="U374" s="22">
        <v>0</v>
      </c>
      <c r="V374" s="6">
        <v>60000</v>
      </c>
      <c r="W374" s="6">
        <f t="shared" ref="W374:W379" si="30">X374-100</f>
        <v>1980</v>
      </c>
      <c r="X374" s="6">
        <v>2080</v>
      </c>
      <c r="Y374" s="6">
        <v>2500</v>
      </c>
      <c r="Z374" s="6">
        <f t="shared" si="28"/>
        <v>2550</v>
      </c>
      <c r="AA374" s="22">
        <v>-1</v>
      </c>
      <c r="AB374" s="6" t="s">
        <v>92</v>
      </c>
      <c r="AC374" s="6">
        <v>2</v>
      </c>
      <c r="AD374" s="3">
        <v>0</v>
      </c>
      <c r="AF374" s="41"/>
      <c r="AH374" s="6">
        <v>0</v>
      </c>
      <c r="AI374" s="6">
        <v>0</v>
      </c>
      <c r="AJ374" s="6">
        <v>0</v>
      </c>
      <c r="AK374" s="6">
        <v>1</v>
      </c>
    </row>
    <row r="375" s="6" customFormat="1" spans="1:37">
      <c r="A375" s="6">
        <v>4001516</v>
      </c>
      <c r="B375" s="6">
        <v>4001516</v>
      </c>
      <c r="C375" s="6" t="s">
        <v>738</v>
      </c>
      <c r="D375" s="6" t="s">
        <v>87</v>
      </c>
      <c r="F375" s="6">
        <v>1</v>
      </c>
      <c r="G375" s="6">
        <v>1</v>
      </c>
      <c r="I375" s="6">
        <v>1</v>
      </c>
      <c r="K375" s="6">
        <v>3</v>
      </c>
      <c r="L375" s="6">
        <v>65</v>
      </c>
      <c r="M375" s="6">
        <v>1</v>
      </c>
      <c r="N375" s="6">
        <v>1</v>
      </c>
      <c r="O375" s="6">
        <v>0</v>
      </c>
      <c r="P375" s="6">
        <v>1</v>
      </c>
      <c r="Q375" s="6">
        <f t="shared" si="29"/>
        <v>4001516</v>
      </c>
      <c r="U375" s="22">
        <v>0</v>
      </c>
      <c r="V375" s="6">
        <v>10000</v>
      </c>
      <c r="W375" s="6">
        <f t="shared" si="30"/>
        <v>610</v>
      </c>
      <c r="X375" s="6">
        <v>710</v>
      </c>
      <c r="Y375" s="6">
        <v>950</v>
      </c>
      <c r="Z375" s="6">
        <f t="shared" si="28"/>
        <v>1000</v>
      </c>
      <c r="AA375" s="22">
        <v>1500</v>
      </c>
      <c r="AC375" s="6">
        <v>2</v>
      </c>
      <c r="AD375" s="3">
        <v>0</v>
      </c>
      <c r="AF375" s="41"/>
      <c r="AH375" s="6">
        <v>0</v>
      </c>
      <c r="AI375" s="6">
        <v>0</v>
      </c>
      <c r="AJ375" s="6">
        <v>0</v>
      </c>
      <c r="AK375" s="6">
        <v>0</v>
      </c>
    </row>
    <row r="376" s="6" customFormat="1" spans="1:37">
      <c r="A376" s="6">
        <v>4001517</v>
      </c>
      <c r="B376" s="6">
        <v>4001517</v>
      </c>
      <c r="C376" s="6" t="s">
        <v>738</v>
      </c>
      <c r="D376" s="6" t="s">
        <v>726</v>
      </c>
      <c r="F376" s="6">
        <v>2</v>
      </c>
      <c r="G376" s="6">
        <v>1</v>
      </c>
      <c r="I376" s="6">
        <v>2</v>
      </c>
      <c r="K376" s="6">
        <v>3</v>
      </c>
      <c r="L376" s="6">
        <v>100</v>
      </c>
      <c r="M376" s="6">
        <v>2</v>
      </c>
      <c r="N376" s="6">
        <v>3</v>
      </c>
      <c r="O376" s="6" t="s">
        <v>157</v>
      </c>
      <c r="P376" s="6">
        <v>10</v>
      </c>
      <c r="Q376" s="6">
        <f t="shared" si="29"/>
        <v>4001517</v>
      </c>
      <c r="U376" s="22">
        <v>0</v>
      </c>
      <c r="V376" s="6">
        <v>60000</v>
      </c>
      <c r="W376" s="6">
        <f t="shared" si="30"/>
        <v>3320</v>
      </c>
      <c r="X376" s="6">
        <v>3420</v>
      </c>
      <c r="Y376" s="6">
        <v>3830</v>
      </c>
      <c r="Z376" s="6">
        <f t="shared" si="28"/>
        <v>3880</v>
      </c>
      <c r="AA376" s="22">
        <v>-1</v>
      </c>
      <c r="AB376" s="6" t="s">
        <v>92</v>
      </c>
      <c r="AC376" s="6">
        <v>2</v>
      </c>
      <c r="AD376" s="3">
        <v>0</v>
      </c>
      <c r="AE376" s="6" t="s">
        <v>739</v>
      </c>
      <c r="AF376" s="41"/>
      <c r="AH376" s="6">
        <v>0</v>
      </c>
      <c r="AI376" s="6">
        <v>0</v>
      </c>
      <c r="AJ376" s="6">
        <v>0</v>
      </c>
      <c r="AK376" s="6">
        <v>1</v>
      </c>
    </row>
    <row r="377" s="6" customFormat="1" spans="1:37">
      <c r="A377" s="6">
        <v>4001519</v>
      </c>
      <c r="B377" s="6">
        <v>4001519</v>
      </c>
      <c r="C377" s="6" t="s">
        <v>740</v>
      </c>
      <c r="D377" s="6" t="s">
        <v>87</v>
      </c>
      <c r="F377" s="6">
        <v>1</v>
      </c>
      <c r="G377" s="6">
        <v>1</v>
      </c>
      <c r="I377" s="6">
        <v>1</v>
      </c>
      <c r="K377" s="6">
        <v>3</v>
      </c>
      <c r="L377" s="6">
        <v>65</v>
      </c>
      <c r="M377" s="6">
        <v>1</v>
      </c>
      <c r="N377" s="6">
        <v>1</v>
      </c>
      <c r="O377" s="6">
        <v>0</v>
      </c>
      <c r="P377" s="6">
        <v>1</v>
      </c>
      <c r="Q377" s="6">
        <f t="shared" si="29"/>
        <v>4001519</v>
      </c>
      <c r="U377" s="22">
        <v>0</v>
      </c>
      <c r="V377" s="6">
        <v>10000</v>
      </c>
      <c r="W377" s="6">
        <f t="shared" si="30"/>
        <v>480</v>
      </c>
      <c r="X377" s="6">
        <v>580</v>
      </c>
      <c r="Y377" s="6">
        <v>750</v>
      </c>
      <c r="Z377" s="6">
        <f t="shared" si="28"/>
        <v>800</v>
      </c>
      <c r="AA377" s="22">
        <v>1500</v>
      </c>
      <c r="AC377" s="6">
        <v>2</v>
      </c>
      <c r="AD377" s="3">
        <v>0</v>
      </c>
      <c r="AF377" s="41"/>
      <c r="AH377" s="6">
        <v>0</v>
      </c>
      <c r="AI377" s="6">
        <v>0</v>
      </c>
      <c r="AJ377" s="6">
        <v>0</v>
      </c>
      <c r="AK377" s="6">
        <v>0</v>
      </c>
    </row>
    <row r="378" s="6" customFormat="1" spans="1:37">
      <c r="A378" s="6">
        <v>4001520</v>
      </c>
      <c r="B378" s="6">
        <v>4001520</v>
      </c>
      <c r="C378" s="6" t="s">
        <v>740</v>
      </c>
      <c r="D378" s="6" t="s">
        <v>726</v>
      </c>
      <c r="F378" s="6">
        <v>2</v>
      </c>
      <c r="G378" s="6">
        <v>1</v>
      </c>
      <c r="I378" s="6">
        <v>2</v>
      </c>
      <c r="K378" s="6">
        <v>3</v>
      </c>
      <c r="L378" s="6">
        <v>100</v>
      </c>
      <c r="M378" s="6">
        <v>2</v>
      </c>
      <c r="N378" s="6">
        <v>2</v>
      </c>
      <c r="O378" s="6" t="s">
        <v>363</v>
      </c>
      <c r="P378" s="6">
        <v>10</v>
      </c>
      <c r="Q378" s="6">
        <f t="shared" si="29"/>
        <v>4001520</v>
      </c>
      <c r="U378" s="22">
        <v>0</v>
      </c>
      <c r="V378" s="6">
        <v>30000</v>
      </c>
      <c r="W378" s="6">
        <v>3320</v>
      </c>
      <c r="X378" s="6" t="s">
        <v>741</v>
      </c>
      <c r="Y378" s="6">
        <v>4500</v>
      </c>
      <c r="Z378" s="6">
        <f t="shared" si="28"/>
        <v>4550</v>
      </c>
      <c r="AA378" s="22">
        <v>-1</v>
      </c>
      <c r="AB378" s="6" t="s">
        <v>92</v>
      </c>
      <c r="AC378" s="6">
        <v>2</v>
      </c>
      <c r="AD378" s="3">
        <v>0</v>
      </c>
      <c r="AF378" s="41"/>
      <c r="AH378" s="6">
        <v>0</v>
      </c>
      <c r="AI378" s="6">
        <v>0</v>
      </c>
      <c r="AJ378" s="6">
        <v>0</v>
      </c>
      <c r="AK378" s="6">
        <v>1</v>
      </c>
    </row>
    <row r="379" s="6" customFormat="1" spans="1:37">
      <c r="A379" s="6">
        <v>4001522</v>
      </c>
      <c r="B379" s="6">
        <v>4001522</v>
      </c>
      <c r="C379" s="6" t="s">
        <v>742</v>
      </c>
      <c r="D379" s="6" t="s">
        <v>87</v>
      </c>
      <c r="F379" s="6">
        <v>1</v>
      </c>
      <c r="G379" s="6">
        <v>1</v>
      </c>
      <c r="I379" s="6">
        <v>7</v>
      </c>
      <c r="J379" s="6" t="s">
        <v>743</v>
      </c>
      <c r="K379" s="6">
        <v>3</v>
      </c>
      <c r="L379" s="6">
        <v>400</v>
      </c>
      <c r="M379" s="6">
        <v>1</v>
      </c>
      <c r="N379" s="6">
        <v>1</v>
      </c>
      <c r="O379" s="6">
        <v>0</v>
      </c>
      <c r="P379" s="6">
        <v>1</v>
      </c>
      <c r="Q379" s="6">
        <f t="shared" si="29"/>
        <v>4001522</v>
      </c>
      <c r="U379" s="22">
        <v>0</v>
      </c>
      <c r="V379" s="6">
        <v>5000</v>
      </c>
      <c r="W379" s="6">
        <f t="shared" si="30"/>
        <v>140</v>
      </c>
      <c r="X379" s="6">
        <v>240</v>
      </c>
      <c r="Y379" s="6">
        <v>400</v>
      </c>
      <c r="Z379" s="6">
        <v>450</v>
      </c>
      <c r="AA379" s="22">
        <v>50</v>
      </c>
      <c r="AC379" s="6">
        <v>2</v>
      </c>
      <c r="AD379" s="3">
        <v>0</v>
      </c>
      <c r="AF379" s="41"/>
      <c r="AH379" s="6">
        <v>0</v>
      </c>
      <c r="AI379" s="6">
        <v>0</v>
      </c>
      <c r="AJ379" s="6">
        <v>0</v>
      </c>
      <c r="AK379" s="6">
        <v>0</v>
      </c>
    </row>
    <row r="380" s="6" customFormat="1" spans="1:37">
      <c r="A380" s="6">
        <v>4001523</v>
      </c>
      <c r="B380" s="6">
        <v>4001523</v>
      </c>
      <c r="C380" s="6" t="s">
        <v>742</v>
      </c>
      <c r="D380" s="6" t="s">
        <v>726</v>
      </c>
      <c r="F380" s="6">
        <v>2</v>
      </c>
      <c r="G380" s="6">
        <v>1</v>
      </c>
      <c r="I380" s="6">
        <v>2</v>
      </c>
      <c r="K380" s="6">
        <v>3</v>
      </c>
      <c r="L380" s="6">
        <v>400</v>
      </c>
      <c r="M380" s="6">
        <v>2</v>
      </c>
      <c r="N380" s="6">
        <v>3</v>
      </c>
      <c r="O380" s="6" t="s">
        <v>363</v>
      </c>
      <c r="P380" s="6">
        <v>10</v>
      </c>
      <c r="Q380" s="6">
        <f t="shared" si="29"/>
        <v>4001523</v>
      </c>
      <c r="U380" s="22">
        <v>0</v>
      </c>
      <c r="V380" s="6">
        <v>60000</v>
      </c>
      <c r="W380" s="6">
        <v>2070</v>
      </c>
      <c r="X380" s="6">
        <v>2170</v>
      </c>
      <c r="Y380" s="6">
        <v>2500</v>
      </c>
      <c r="Z380" s="6">
        <f t="shared" si="28"/>
        <v>2550</v>
      </c>
      <c r="AA380" s="22">
        <v>-1</v>
      </c>
      <c r="AB380" s="6" t="s">
        <v>744</v>
      </c>
      <c r="AC380" s="6">
        <v>2</v>
      </c>
      <c r="AD380" s="3">
        <v>0</v>
      </c>
      <c r="AF380" s="41"/>
      <c r="AH380" s="6">
        <v>0</v>
      </c>
      <c r="AI380" s="6">
        <v>0</v>
      </c>
      <c r="AJ380" s="6">
        <v>0</v>
      </c>
      <c r="AK380" s="6">
        <v>1</v>
      </c>
    </row>
    <row r="381" s="6" customFormat="1" spans="1:37">
      <c r="A381" s="6">
        <v>4001525</v>
      </c>
      <c r="B381" s="6">
        <v>4001525</v>
      </c>
      <c r="C381" s="6" t="s">
        <v>745</v>
      </c>
      <c r="D381" s="6" t="s">
        <v>87</v>
      </c>
      <c r="F381" s="6">
        <v>1</v>
      </c>
      <c r="G381" s="6">
        <v>1</v>
      </c>
      <c r="I381" s="6">
        <v>1</v>
      </c>
      <c r="K381" s="6">
        <v>3</v>
      </c>
      <c r="L381" s="6">
        <v>65</v>
      </c>
      <c r="M381" s="6">
        <v>1</v>
      </c>
      <c r="N381" s="6">
        <v>1</v>
      </c>
      <c r="O381" s="6">
        <v>0</v>
      </c>
      <c r="P381" s="6">
        <v>1</v>
      </c>
      <c r="Q381" s="6">
        <f t="shared" si="29"/>
        <v>4001525</v>
      </c>
      <c r="U381" s="22">
        <v>0</v>
      </c>
      <c r="V381" s="6">
        <v>10000</v>
      </c>
      <c r="W381" s="6">
        <f t="shared" ref="W381:W387" si="31">X381-100</f>
        <v>320</v>
      </c>
      <c r="X381" s="6">
        <v>420</v>
      </c>
      <c r="Y381" s="6">
        <v>600</v>
      </c>
      <c r="Z381" s="6">
        <f t="shared" si="28"/>
        <v>650</v>
      </c>
      <c r="AA381" s="22">
        <v>1500</v>
      </c>
      <c r="AC381" s="6">
        <v>2</v>
      </c>
      <c r="AD381" s="3">
        <v>0</v>
      </c>
      <c r="AF381" s="41"/>
      <c r="AH381" s="6">
        <v>0</v>
      </c>
      <c r="AI381" s="6">
        <v>0</v>
      </c>
      <c r="AJ381" s="6">
        <v>0</v>
      </c>
      <c r="AK381" s="6">
        <v>0</v>
      </c>
    </row>
    <row r="382" s="6" customFormat="1" spans="1:37">
      <c r="A382" s="6">
        <v>4001526</v>
      </c>
      <c r="B382" s="6">
        <v>4001526</v>
      </c>
      <c r="C382" s="6" t="s">
        <v>745</v>
      </c>
      <c r="D382" s="6" t="s">
        <v>726</v>
      </c>
      <c r="F382" s="6">
        <v>2</v>
      </c>
      <c r="G382" s="6">
        <v>1</v>
      </c>
      <c r="I382" s="6">
        <v>2</v>
      </c>
      <c r="K382" s="6">
        <v>3</v>
      </c>
      <c r="L382" s="6">
        <v>100</v>
      </c>
      <c r="M382" s="6">
        <v>2</v>
      </c>
      <c r="N382" s="6">
        <v>1</v>
      </c>
      <c r="O382" s="6" t="s">
        <v>746</v>
      </c>
      <c r="P382" s="6">
        <v>10</v>
      </c>
      <c r="Q382" s="6">
        <f t="shared" si="29"/>
        <v>4001526</v>
      </c>
      <c r="U382" s="22">
        <v>0</v>
      </c>
      <c r="V382" s="6">
        <v>30000</v>
      </c>
      <c r="W382" s="6">
        <v>2570</v>
      </c>
      <c r="X382" s="6" t="s">
        <v>747</v>
      </c>
      <c r="Y382" s="6">
        <v>3500</v>
      </c>
      <c r="Z382" s="6">
        <f t="shared" si="28"/>
        <v>3550</v>
      </c>
      <c r="AA382" s="22">
        <v>-1</v>
      </c>
      <c r="AB382" s="6" t="s">
        <v>92</v>
      </c>
      <c r="AC382" s="6">
        <v>2</v>
      </c>
      <c r="AD382" s="3">
        <v>0</v>
      </c>
      <c r="AF382" s="41"/>
      <c r="AH382" s="6">
        <v>2</v>
      </c>
      <c r="AI382" s="6" t="s">
        <v>748</v>
      </c>
      <c r="AJ382" s="6">
        <v>0</v>
      </c>
      <c r="AK382" s="6">
        <v>1</v>
      </c>
    </row>
    <row r="383" s="6" customFormat="1" spans="1:37">
      <c r="A383" s="6">
        <v>4001528</v>
      </c>
      <c r="B383" s="6">
        <v>4001528</v>
      </c>
      <c r="C383" s="6" t="s">
        <v>749</v>
      </c>
      <c r="D383" s="6" t="s">
        <v>87</v>
      </c>
      <c r="F383" s="6">
        <v>1</v>
      </c>
      <c r="G383" s="6">
        <v>1</v>
      </c>
      <c r="I383" s="6">
        <v>1</v>
      </c>
      <c r="K383" s="6">
        <v>3</v>
      </c>
      <c r="L383" s="6">
        <v>200</v>
      </c>
      <c r="M383" s="6">
        <v>1</v>
      </c>
      <c r="N383" s="6">
        <v>2</v>
      </c>
      <c r="O383" s="6" t="s">
        <v>750</v>
      </c>
      <c r="P383" s="6">
        <v>12</v>
      </c>
      <c r="Q383" s="6">
        <f t="shared" si="29"/>
        <v>4001528</v>
      </c>
      <c r="U383" s="22">
        <v>0</v>
      </c>
      <c r="V383" s="6">
        <v>10000</v>
      </c>
      <c r="W383" s="6">
        <f t="shared" si="31"/>
        <v>230</v>
      </c>
      <c r="X383" s="6">
        <v>330</v>
      </c>
      <c r="Y383" s="6">
        <v>500</v>
      </c>
      <c r="Z383" s="6">
        <f t="shared" si="28"/>
        <v>550</v>
      </c>
      <c r="AA383" s="22">
        <v>1500</v>
      </c>
      <c r="AC383" s="6">
        <v>2</v>
      </c>
      <c r="AD383" s="6">
        <v>1</v>
      </c>
      <c r="AE383" s="6" t="s">
        <v>751</v>
      </c>
      <c r="AF383" s="41"/>
      <c r="AH383" s="6">
        <v>0</v>
      </c>
      <c r="AI383" s="6">
        <v>0</v>
      </c>
      <c r="AJ383" s="6">
        <v>0</v>
      </c>
      <c r="AK383" s="6">
        <v>0</v>
      </c>
    </row>
    <row r="384" s="6" customFormat="1" spans="1:37">
      <c r="A384" s="6">
        <v>4001529</v>
      </c>
      <c r="B384" s="6">
        <v>4001529</v>
      </c>
      <c r="C384" s="6" t="s">
        <v>749</v>
      </c>
      <c r="D384" s="6" t="s">
        <v>726</v>
      </c>
      <c r="F384" s="6">
        <v>2</v>
      </c>
      <c r="G384" s="6">
        <v>1</v>
      </c>
      <c r="I384" s="6">
        <v>2</v>
      </c>
      <c r="K384" s="6">
        <v>3</v>
      </c>
      <c r="L384" s="6">
        <v>200</v>
      </c>
      <c r="M384" s="6">
        <v>2</v>
      </c>
      <c r="N384" s="6">
        <v>3</v>
      </c>
      <c r="O384" s="6" t="s">
        <v>306</v>
      </c>
      <c r="P384" s="6">
        <v>12</v>
      </c>
      <c r="Q384" s="6">
        <f t="shared" si="29"/>
        <v>4001529</v>
      </c>
      <c r="U384" s="22">
        <v>0</v>
      </c>
      <c r="V384" s="6">
        <v>10000</v>
      </c>
      <c r="W384" s="6">
        <f t="shared" si="31"/>
        <v>3070</v>
      </c>
      <c r="X384" s="6">
        <v>3170</v>
      </c>
      <c r="Y384" s="6">
        <v>4920</v>
      </c>
      <c r="Z384" s="6">
        <f t="shared" si="28"/>
        <v>4970</v>
      </c>
      <c r="AA384" s="22">
        <v>-1</v>
      </c>
      <c r="AB384" s="6" t="s">
        <v>133</v>
      </c>
      <c r="AC384" s="6">
        <v>2</v>
      </c>
      <c r="AD384" s="3">
        <v>0</v>
      </c>
      <c r="AF384" s="41"/>
      <c r="AH384" s="6">
        <v>2</v>
      </c>
      <c r="AI384" s="6" t="s">
        <v>748</v>
      </c>
      <c r="AJ384" s="6">
        <v>0</v>
      </c>
      <c r="AK384" s="6">
        <v>0</v>
      </c>
    </row>
    <row r="385" s="6" customFormat="1" spans="1:37">
      <c r="A385" s="6">
        <v>4001530</v>
      </c>
      <c r="B385" s="6">
        <v>4001530</v>
      </c>
      <c r="C385" s="6" t="s">
        <v>749</v>
      </c>
      <c r="D385" s="6" t="s">
        <v>752</v>
      </c>
      <c r="F385" s="6">
        <v>2</v>
      </c>
      <c r="G385" s="6">
        <v>1</v>
      </c>
      <c r="I385" s="6">
        <v>2</v>
      </c>
      <c r="K385" s="6">
        <v>3</v>
      </c>
      <c r="L385" s="6">
        <v>600</v>
      </c>
      <c r="M385" s="6">
        <v>3</v>
      </c>
      <c r="N385" s="6">
        <v>2</v>
      </c>
      <c r="O385" s="6" t="s">
        <v>100</v>
      </c>
      <c r="P385" s="6">
        <v>12</v>
      </c>
      <c r="Q385" s="6">
        <f t="shared" si="29"/>
        <v>4001530</v>
      </c>
      <c r="U385" s="22">
        <v>0</v>
      </c>
      <c r="V385" s="6">
        <v>10000</v>
      </c>
      <c r="W385" s="6">
        <f t="shared" si="31"/>
        <v>3980</v>
      </c>
      <c r="X385" s="6">
        <v>4080</v>
      </c>
      <c r="Y385" s="6">
        <v>4170</v>
      </c>
      <c r="Z385" s="6">
        <f t="shared" si="28"/>
        <v>4220</v>
      </c>
      <c r="AA385" s="22">
        <v>12000</v>
      </c>
      <c r="AC385" s="6">
        <v>2</v>
      </c>
      <c r="AD385" s="6">
        <v>1</v>
      </c>
      <c r="AE385" s="6" t="s">
        <v>326</v>
      </c>
      <c r="AF385" s="41"/>
      <c r="AH385" s="6">
        <v>6</v>
      </c>
      <c r="AI385" s="6">
        <v>0</v>
      </c>
      <c r="AJ385" s="6">
        <v>0</v>
      </c>
      <c r="AK385" s="6">
        <v>0</v>
      </c>
    </row>
    <row r="386" s="6" customFormat="1" spans="1:37">
      <c r="A386" s="6">
        <v>4001531</v>
      </c>
      <c r="B386" s="6">
        <v>4001531</v>
      </c>
      <c r="C386" s="6" t="s">
        <v>753</v>
      </c>
      <c r="D386" s="6" t="s">
        <v>87</v>
      </c>
      <c r="F386" s="6">
        <v>1</v>
      </c>
      <c r="G386" s="6">
        <v>1</v>
      </c>
      <c r="I386" s="6">
        <v>1</v>
      </c>
      <c r="K386" s="6">
        <v>3</v>
      </c>
      <c r="L386" s="6">
        <v>65</v>
      </c>
      <c r="M386" s="6">
        <v>1</v>
      </c>
      <c r="N386" s="6">
        <v>1</v>
      </c>
      <c r="O386" s="6">
        <v>0</v>
      </c>
      <c r="P386" s="6">
        <v>1</v>
      </c>
      <c r="Q386" s="6">
        <v>-1</v>
      </c>
      <c r="U386" s="22">
        <v>0</v>
      </c>
      <c r="V386" s="6">
        <v>10000</v>
      </c>
      <c r="W386" s="6">
        <f t="shared" si="31"/>
        <v>570</v>
      </c>
      <c r="X386" s="6">
        <v>670</v>
      </c>
      <c r="Y386" s="6">
        <v>920</v>
      </c>
      <c r="Z386" s="6">
        <f t="shared" si="28"/>
        <v>970</v>
      </c>
      <c r="AA386" s="22">
        <v>1500</v>
      </c>
      <c r="AC386" s="6">
        <v>2</v>
      </c>
      <c r="AD386" s="3">
        <v>0</v>
      </c>
      <c r="AF386" s="41"/>
      <c r="AH386" s="6">
        <v>0</v>
      </c>
      <c r="AI386" s="6">
        <v>0</v>
      </c>
      <c r="AJ386" s="6">
        <v>0</v>
      </c>
      <c r="AK386" s="6">
        <v>0</v>
      </c>
    </row>
    <row r="387" s="6" customFormat="1" spans="1:37">
      <c r="A387" s="6">
        <v>4001532</v>
      </c>
      <c r="B387" s="6">
        <v>4001532</v>
      </c>
      <c r="C387" s="6" t="s">
        <v>753</v>
      </c>
      <c r="D387" s="6" t="s">
        <v>726</v>
      </c>
      <c r="F387" s="6">
        <v>2</v>
      </c>
      <c r="G387" s="6">
        <v>1</v>
      </c>
      <c r="I387" s="6">
        <v>2</v>
      </c>
      <c r="K387" s="6">
        <v>3</v>
      </c>
      <c r="L387" s="6">
        <v>100</v>
      </c>
      <c r="M387" s="6">
        <v>2</v>
      </c>
      <c r="N387" s="6">
        <v>3</v>
      </c>
      <c r="O387" s="6" t="s">
        <v>100</v>
      </c>
      <c r="P387" s="6">
        <v>10</v>
      </c>
      <c r="Q387" s="6">
        <f>B387</f>
        <v>4001532</v>
      </c>
      <c r="U387" s="22">
        <v>0</v>
      </c>
      <c r="V387" s="6">
        <v>60000</v>
      </c>
      <c r="W387" s="6">
        <f t="shared" si="31"/>
        <v>2570</v>
      </c>
      <c r="X387" s="6">
        <v>2670</v>
      </c>
      <c r="Y387" s="6">
        <v>2920</v>
      </c>
      <c r="Z387" s="6">
        <f t="shared" ref="Z387:Z410" si="32">Y387+50</f>
        <v>2970</v>
      </c>
      <c r="AA387" s="22">
        <v>-1</v>
      </c>
      <c r="AB387" s="6" t="s">
        <v>92</v>
      </c>
      <c r="AC387" s="6">
        <v>2</v>
      </c>
      <c r="AD387" s="3">
        <v>0</v>
      </c>
      <c r="AF387" s="41"/>
      <c r="AH387" s="6">
        <v>0</v>
      </c>
      <c r="AI387" s="6">
        <v>0</v>
      </c>
      <c r="AJ387" s="6">
        <v>0</v>
      </c>
      <c r="AK387" s="6">
        <v>1</v>
      </c>
    </row>
    <row r="388" s="6" customFormat="1" spans="1:37">
      <c r="A388" s="6">
        <v>4001534</v>
      </c>
      <c r="B388" s="6">
        <v>4001534</v>
      </c>
      <c r="C388" s="6" t="s">
        <v>87</v>
      </c>
      <c r="D388" s="6" t="s">
        <v>379</v>
      </c>
      <c r="F388" s="6">
        <v>1</v>
      </c>
      <c r="G388" s="6">
        <v>1</v>
      </c>
      <c r="I388" s="6">
        <v>1</v>
      </c>
      <c r="K388" s="6">
        <v>3</v>
      </c>
      <c r="L388" s="6">
        <v>65</v>
      </c>
      <c r="M388" s="6">
        <v>1</v>
      </c>
      <c r="N388" s="6">
        <v>1</v>
      </c>
      <c r="O388" s="6" t="s">
        <v>754</v>
      </c>
      <c r="P388" s="6">
        <v>3</v>
      </c>
      <c r="Q388" s="6">
        <v>4001534</v>
      </c>
      <c r="U388" s="6">
        <v>0</v>
      </c>
      <c r="V388" s="6">
        <v>10000</v>
      </c>
      <c r="W388" s="6">
        <v>320</v>
      </c>
      <c r="X388" s="6">
        <v>420</v>
      </c>
      <c r="Y388" s="6">
        <v>670</v>
      </c>
      <c r="Z388" s="6">
        <f t="shared" si="32"/>
        <v>720</v>
      </c>
      <c r="AA388" s="6">
        <v>280</v>
      </c>
      <c r="AC388" s="6">
        <v>2</v>
      </c>
      <c r="AD388" s="3">
        <v>0</v>
      </c>
      <c r="AF388" s="41"/>
      <c r="AH388" s="6">
        <v>0</v>
      </c>
      <c r="AI388" s="6">
        <v>0</v>
      </c>
      <c r="AJ388" s="6">
        <v>0</v>
      </c>
      <c r="AK388" s="6">
        <v>0</v>
      </c>
    </row>
    <row r="389" s="6" customFormat="1" spans="1:37">
      <c r="A389" s="6">
        <v>4001535</v>
      </c>
      <c r="B389" s="6">
        <v>4001535</v>
      </c>
      <c r="C389" s="6" t="s">
        <v>380</v>
      </c>
      <c r="D389" s="6" t="s">
        <v>381</v>
      </c>
      <c r="F389" s="6">
        <v>2</v>
      </c>
      <c r="G389" s="6">
        <v>1</v>
      </c>
      <c r="H389" s="6" t="s">
        <v>382</v>
      </c>
      <c r="I389" s="6">
        <v>2</v>
      </c>
      <c r="K389" s="6">
        <v>3</v>
      </c>
      <c r="L389" s="6">
        <v>100</v>
      </c>
      <c r="M389" s="6">
        <v>2</v>
      </c>
      <c r="N389" s="6">
        <v>1</v>
      </c>
      <c r="O389" s="6" t="s">
        <v>755</v>
      </c>
      <c r="P389" s="6">
        <v>10</v>
      </c>
      <c r="Q389" s="6">
        <v>4001535</v>
      </c>
      <c r="U389" s="6">
        <v>0</v>
      </c>
      <c r="V389" s="6">
        <v>15000</v>
      </c>
      <c r="W389" s="6">
        <v>1860</v>
      </c>
      <c r="X389" s="6" t="s">
        <v>756</v>
      </c>
      <c r="Y389" s="6">
        <v>3040</v>
      </c>
      <c r="Z389" s="6">
        <f t="shared" si="32"/>
        <v>3090</v>
      </c>
      <c r="AA389" s="6">
        <v>-1</v>
      </c>
      <c r="AB389" s="6" t="s">
        <v>111</v>
      </c>
      <c r="AC389" s="6">
        <v>2</v>
      </c>
      <c r="AD389" s="6">
        <v>1</v>
      </c>
      <c r="AE389" s="6" t="s">
        <v>384</v>
      </c>
      <c r="AF389" s="41"/>
      <c r="AH389" s="6">
        <v>0</v>
      </c>
      <c r="AI389" s="6">
        <v>0</v>
      </c>
      <c r="AJ389" s="6">
        <v>0</v>
      </c>
      <c r="AK389" s="6">
        <v>1</v>
      </c>
    </row>
    <row r="390" s="6" customFormat="1" spans="1:37">
      <c r="A390" s="6">
        <v>4001536</v>
      </c>
      <c r="B390" s="6">
        <v>4001536</v>
      </c>
      <c r="C390" s="6" t="s">
        <v>385</v>
      </c>
      <c r="D390" s="6" t="s">
        <v>386</v>
      </c>
      <c r="F390" s="6">
        <v>2</v>
      </c>
      <c r="G390" s="6">
        <v>1</v>
      </c>
      <c r="H390" s="6" t="s">
        <v>757</v>
      </c>
      <c r="I390" s="6">
        <v>4</v>
      </c>
      <c r="K390" s="6">
        <v>1</v>
      </c>
      <c r="L390" s="6">
        <v>100</v>
      </c>
      <c r="M390" s="6">
        <v>3</v>
      </c>
      <c r="N390" s="6">
        <v>1</v>
      </c>
      <c r="O390" s="6">
        <v>0</v>
      </c>
      <c r="P390" s="6">
        <v>1</v>
      </c>
      <c r="Q390" s="6">
        <v>4001536</v>
      </c>
      <c r="U390" s="6">
        <v>0</v>
      </c>
      <c r="V390" s="6">
        <v>10000</v>
      </c>
      <c r="W390" s="6">
        <v>820</v>
      </c>
      <c r="X390" s="6">
        <v>920</v>
      </c>
      <c r="Y390" s="6">
        <v>1080</v>
      </c>
      <c r="Z390" s="6">
        <f t="shared" si="32"/>
        <v>1130</v>
      </c>
      <c r="AA390" s="6">
        <v>12000</v>
      </c>
      <c r="AC390" s="6">
        <v>2</v>
      </c>
      <c r="AD390" s="6">
        <v>1</v>
      </c>
      <c r="AE390" s="6" t="s">
        <v>758</v>
      </c>
      <c r="AF390" s="41"/>
      <c r="AH390" s="6">
        <v>0</v>
      </c>
      <c r="AI390" s="6">
        <v>0</v>
      </c>
      <c r="AJ390" s="6">
        <v>0</v>
      </c>
      <c r="AK390" s="6">
        <v>0</v>
      </c>
    </row>
    <row r="391" s="6" customFormat="1" spans="1:37">
      <c r="A391" s="6">
        <v>4001537</v>
      </c>
      <c r="B391" s="6">
        <v>4001537</v>
      </c>
      <c r="C391" s="6" t="s">
        <v>87</v>
      </c>
      <c r="D391" s="6" t="s">
        <v>106</v>
      </c>
      <c r="F391" s="6">
        <v>1</v>
      </c>
      <c r="G391" s="6">
        <v>1</v>
      </c>
      <c r="I391" s="6">
        <v>1</v>
      </c>
      <c r="K391" s="6">
        <v>3</v>
      </c>
      <c r="L391" s="6">
        <v>65</v>
      </c>
      <c r="M391" s="6">
        <v>1</v>
      </c>
      <c r="N391" s="6">
        <v>1</v>
      </c>
      <c r="O391" s="6">
        <v>0</v>
      </c>
      <c r="P391" s="6">
        <v>1</v>
      </c>
      <c r="Q391" s="6">
        <v>4001537</v>
      </c>
      <c r="U391" s="6">
        <v>0</v>
      </c>
      <c r="V391" s="6">
        <v>10000</v>
      </c>
      <c r="W391" s="6">
        <v>260</v>
      </c>
      <c r="X391" s="6">
        <v>360</v>
      </c>
      <c r="Y391" s="6">
        <v>420</v>
      </c>
      <c r="Z391" s="6">
        <f t="shared" si="32"/>
        <v>470</v>
      </c>
      <c r="AA391" s="6">
        <v>530</v>
      </c>
      <c r="AC391" s="6">
        <v>2</v>
      </c>
      <c r="AD391" s="3">
        <v>0</v>
      </c>
      <c r="AF391" s="41"/>
      <c r="AH391" s="6">
        <v>0</v>
      </c>
      <c r="AI391" s="6">
        <v>0</v>
      </c>
      <c r="AJ391" s="6">
        <v>0</v>
      </c>
      <c r="AK391" s="6">
        <v>0</v>
      </c>
    </row>
    <row r="392" s="6" customFormat="1" spans="1:37">
      <c r="A392" s="6">
        <v>4001538</v>
      </c>
      <c r="B392" s="6">
        <v>4001538</v>
      </c>
      <c r="C392" s="6" t="s">
        <v>107</v>
      </c>
      <c r="D392" s="6" t="s">
        <v>108</v>
      </c>
      <c r="F392" s="6">
        <v>2</v>
      </c>
      <c r="G392" s="6">
        <v>1</v>
      </c>
      <c r="H392" s="6" t="s">
        <v>109</v>
      </c>
      <c r="I392" s="6">
        <v>2</v>
      </c>
      <c r="K392" s="6">
        <v>3</v>
      </c>
      <c r="L392" s="6">
        <v>100</v>
      </c>
      <c r="M392" s="6">
        <v>2</v>
      </c>
      <c r="N392" s="6">
        <v>1</v>
      </c>
      <c r="O392" s="6" t="s">
        <v>746</v>
      </c>
      <c r="P392" s="6">
        <v>5</v>
      </c>
      <c r="Q392" s="6">
        <v>4001538</v>
      </c>
      <c r="U392" s="6">
        <v>0</v>
      </c>
      <c r="V392" s="6">
        <v>60000</v>
      </c>
      <c r="W392" s="6">
        <v>1940</v>
      </c>
      <c r="X392" s="6">
        <v>2040</v>
      </c>
      <c r="Y392" s="6">
        <v>2170</v>
      </c>
      <c r="Z392" s="6">
        <f t="shared" si="32"/>
        <v>2220</v>
      </c>
      <c r="AA392" s="6">
        <v>-1</v>
      </c>
      <c r="AB392" s="6" t="s">
        <v>111</v>
      </c>
      <c r="AC392" s="6">
        <v>2</v>
      </c>
      <c r="AD392" s="6">
        <v>1</v>
      </c>
      <c r="AE392" s="6" t="s">
        <v>759</v>
      </c>
      <c r="AF392" s="41"/>
      <c r="AH392" s="6">
        <v>0</v>
      </c>
      <c r="AI392" s="6">
        <v>0</v>
      </c>
      <c r="AJ392" s="6">
        <v>0</v>
      </c>
      <c r="AK392" s="6">
        <v>1</v>
      </c>
    </row>
    <row r="393" s="6" customFormat="1" spans="1:37">
      <c r="A393" s="6">
        <v>4001539</v>
      </c>
      <c r="B393" s="6">
        <v>4001539</v>
      </c>
      <c r="C393" s="6" t="s">
        <v>119</v>
      </c>
      <c r="D393" s="6" t="s">
        <v>120</v>
      </c>
      <c r="F393" s="6">
        <v>2</v>
      </c>
      <c r="G393" s="6">
        <v>1</v>
      </c>
      <c r="H393" s="6" t="s">
        <v>121</v>
      </c>
      <c r="I393" s="6">
        <v>2</v>
      </c>
      <c r="K393" s="6">
        <v>3</v>
      </c>
      <c r="L393" s="6">
        <v>100</v>
      </c>
      <c r="M393" s="6">
        <v>3</v>
      </c>
      <c r="N393" s="6">
        <v>2</v>
      </c>
      <c r="O393" s="6" t="s">
        <v>363</v>
      </c>
      <c r="P393" s="6">
        <v>10</v>
      </c>
      <c r="Q393" s="6">
        <v>4001539</v>
      </c>
      <c r="U393" s="6">
        <v>0</v>
      </c>
      <c r="V393" s="6">
        <v>60000</v>
      </c>
      <c r="W393" s="6">
        <v>1980</v>
      </c>
      <c r="X393" s="6">
        <v>2080</v>
      </c>
      <c r="Y393" s="6">
        <v>2170</v>
      </c>
      <c r="Z393" s="6">
        <f t="shared" si="32"/>
        <v>2220</v>
      </c>
      <c r="AA393" s="6">
        <v>12000</v>
      </c>
      <c r="AC393" s="6">
        <v>2</v>
      </c>
      <c r="AD393" s="6">
        <v>1</v>
      </c>
      <c r="AE393" s="6" t="s">
        <v>123</v>
      </c>
      <c r="AF393" s="41"/>
      <c r="AH393" s="6">
        <v>1</v>
      </c>
      <c r="AI393" s="6" t="s">
        <v>124</v>
      </c>
      <c r="AJ393" s="6">
        <v>0</v>
      </c>
      <c r="AK393" s="6">
        <v>1</v>
      </c>
    </row>
    <row r="394" s="6" customFormat="1" spans="1:37">
      <c r="A394" s="6">
        <v>4001540</v>
      </c>
      <c r="B394" s="6">
        <v>4001540</v>
      </c>
      <c r="C394" s="6" t="s">
        <v>87</v>
      </c>
      <c r="D394" s="6" t="s">
        <v>624</v>
      </c>
      <c r="F394" s="6">
        <v>1</v>
      </c>
      <c r="G394" s="6">
        <v>1</v>
      </c>
      <c r="I394" s="6">
        <v>7</v>
      </c>
      <c r="J394" s="6" t="s">
        <v>760</v>
      </c>
      <c r="K394" s="6">
        <v>3</v>
      </c>
      <c r="L394" s="6">
        <v>250</v>
      </c>
      <c r="M394" s="6">
        <v>1</v>
      </c>
      <c r="N394" s="6">
        <v>1</v>
      </c>
      <c r="O394" s="6" t="s">
        <v>599</v>
      </c>
      <c r="P394" s="6">
        <v>10</v>
      </c>
      <c r="Q394" s="6">
        <v>-1</v>
      </c>
      <c r="U394" s="6">
        <v>0</v>
      </c>
      <c r="V394" s="6">
        <v>10000</v>
      </c>
      <c r="W394" s="6">
        <v>900</v>
      </c>
      <c r="X394" s="6">
        <v>1000</v>
      </c>
      <c r="Y394" s="6">
        <v>1170</v>
      </c>
      <c r="Z394" s="6">
        <f t="shared" si="32"/>
        <v>1220</v>
      </c>
      <c r="AA394" s="6">
        <v>450</v>
      </c>
      <c r="AC394" s="6">
        <v>2</v>
      </c>
      <c r="AD394" s="3">
        <v>0</v>
      </c>
      <c r="AF394" s="41"/>
      <c r="AH394" s="6">
        <v>0</v>
      </c>
      <c r="AI394" s="6">
        <v>0</v>
      </c>
      <c r="AJ394" s="6">
        <v>0</v>
      </c>
      <c r="AK394" s="6">
        <v>0</v>
      </c>
    </row>
    <row r="395" s="6" customFormat="1" spans="1:37">
      <c r="A395" s="6">
        <v>4001541</v>
      </c>
      <c r="B395" s="6">
        <v>4001541</v>
      </c>
      <c r="C395" s="6" t="s">
        <v>626</v>
      </c>
      <c r="D395" s="6" t="s">
        <v>627</v>
      </c>
      <c r="F395" s="6">
        <v>2</v>
      </c>
      <c r="G395" s="6">
        <v>1</v>
      </c>
      <c r="H395" s="6" t="s">
        <v>628</v>
      </c>
      <c r="I395" s="6">
        <v>7</v>
      </c>
      <c r="J395" s="6" t="s">
        <v>761</v>
      </c>
      <c r="K395" s="6">
        <v>3</v>
      </c>
      <c r="L395" s="6">
        <v>250</v>
      </c>
      <c r="M395" s="6">
        <v>2</v>
      </c>
      <c r="N395" s="6">
        <v>2</v>
      </c>
      <c r="O395" s="6" t="s">
        <v>762</v>
      </c>
      <c r="P395" s="6">
        <v>1</v>
      </c>
      <c r="Q395" s="6">
        <v>-1</v>
      </c>
      <c r="U395" s="6">
        <v>0</v>
      </c>
      <c r="V395" s="6">
        <v>10000</v>
      </c>
      <c r="W395" s="6">
        <v>2730</v>
      </c>
      <c r="X395" s="6">
        <v>2830</v>
      </c>
      <c r="Y395" s="6">
        <v>3000</v>
      </c>
      <c r="Z395" s="6">
        <f t="shared" si="32"/>
        <v>3050</v>
      </c>
      <c r="AA395" s="6">
        <v>-1</v>
      </c>
      <c r="AB395" s="6" t="s">
        <v>133</v>
      </c>
      <c r="AC395" s="6">
        <v>2</v>
      </c>
      <c r="AD395" s="3">
        <v>0</v>
      </c>
      <c r="AF395" s="41"/>
      <c r="AH395" s="6">
        <v>0</v>
      </c>
      <c r="AI395" s="6">
        <v>0</v>
      </c>
      <c r="AJ395" s="6">
        <v>0</v>
      </c>
      <c r="AK395" s="6">
        <v>1</v>
      </c>
    </row>
    <row r="396" s="6" customFormat="1" spans="1:37">
      <c r="A396" s="6">
        <v>4001542</v>
      </c>
      <c r="B396" s="6">
        <v>4001542</v>
      </c>
      <c r="C396" s="6" t="s">
        <v>629</v>
      </c>
      <c r="D396" s="6" t="s">
        <v>630</v>
      </c>
      <c r="F396" s="6">
        <v>2</v>
      </c>
      <c r="G396" s="6">
        <v>1</v>
      </c>
      <c r="H396" s="6" t="s">
        <v>631</v>
      </c>
      <c r="I396" s="6">
        <v>2</v>
      </c>
      <c r="K396" s="6">
        <v>3</v>
      </c>
      <c r="L396" s="6">
        <v>250</v>
      </c>
      <c r="M396" s="6">
        <v>3</v>
      </c>
      <c r="N396" s="6">
        <v>3</v>
      </c>
      <c r="O396" s="6" t="s">
        <v>363</v>
      </c>
      <c r="P396" s="6">
        <v>10</v>
      </c>
      <c r="Q396" s="6">
        <v>4001542</v>
      </c>
      <c r="U396" s="6">
        <v>0</v>
      </c>
      <c r="V396" s="6">
        <v>20000</v>
      </c>
      <c r="W396" s="6">
        <v>2730</v>
      </c>
      <c r="X396" s="6" t="s">
        <v>763</v>
      </c>
      <c r="Y396" s="6">
        <v>2170</v>
      </c>
      <c r="Z396" s="6">
        <v>3920</v>
      </c>
      <c r="AA396" s="6">
        <v>15000</v>
      </c>
      <c r="AC396" s="6">
        <v>2</v>
      </c>
      <c r="AD396" s="6">
        <v>1</v>
      </c>
      <c r="AE396" s="6" t="s">
        <v>739</v>
      </c>
      <c r="AF396" s="41"/>
      <c r="AH396" s="6">
        <v>0</v>
      </c>
      <c r="AI396" s="6">
        <v>0</v>
      </c>
      <c r="AJ396" s="6">
        <v>0</v>
      </c>
      <c r="AK396" s="6">
        <v>1</v>
      </c>
    </row>
    <row r="397" s="6" customFormat="1" spans="1:37">
      <c r="A397" s="6">
        <v>4001543</v>
      </c>
      <c r="B397" s="6">
        <v>4001543</v>
      </c>
      <c r="C397" s="6" t="s">
        <v>87</v>
      </c>
      <c r="D397" s="6" t="s">
        <v>160</v>
      </c>
      <c r="F397" s="6">
        <v>1</v>
      </c>
      <c r="G397" s="6">
        <v>1</v>
      </c>
      <c r="I397" s="6">
        <v>7</v>
      </c>
      <c r="J397" s="6" t="s">
        <v>161</v>
      </c>
      <c r="K397" s="6">
        <v>3</v>
      </c>
      <c r="L397" s="6">
        <v>250</v>
      </c>
      <c r="M397" s="6">
        <v>1</v>
      </c>
      <c r="N397" s="6">
        <v>1</v>
      </c>
      <c r="O397" s="6">
        <v>0</v>
      </c>
      <c r="P397" s="6">
        <v>1</v>
      </c>
      <c r="Q397" s="6">
        <v>4001543</v>
      </c>
      <c r="U397" s="22">
        <v>0</v>
      </c>
      <c r="V397" s="6">
        <v>10000</v>
      </c>
      <c r="W397" s="6">
        <v>380</v>
      </c>
      <c r="X397" s="6">
        <v>480</v>
      </c>
      <c r="Y397" s="6">
        <v>540</v>
      </c>
      <c r="Z397" s="6">
        <f t="shared" si="32"/>
        <v>590</v>
      </c>
      <c r="AA397" s="6">
        <v>200</v>
      </c>
      <c r="AC397" s="6">
        <v>2</v>
      </c>
      <c r="AD397" s="3">
        <v>0</v>
      </c>
      <c r="AF397" s="41"/>
      <c r="AH397" s="6">
        <v>0</v>
      </c>
      <c r="AI397" s="6">
        <v>0</v>
      </c>
      <c r="AJ397" s="6">
        <v>0</v>
      </c>
      <c r="AK397" s="6">
        <v>0</v>
      </c>
    </row>
    <row r="398" s="6" customFormat="1" spans="1:37">
      <c r="A398" s="6">
        <v>4001544</v>
      </c>
      <c r="B398" s="6">
        <v>4001544</v>
      </c>
      <c r="C398" s="6" t="s">
        <v>162</v>
      </c>
      <c r="D398" s="6" t="s">
        <v>163</v>
      </c>
      <c r="E398" s="22"/>
      <c r="F398" s="6">
        <v>2</v>
      </c>
      <c r="G398" s="6">
        <v>1</v>
      </c>
      <c r="H398" s="6" t="s">
        <v>164</v>
      </c>
      <c r="I398" s="6">
        <v>7</v>
      </c>
      <c r="J398" s="6" t="s">
        <v>165</v>
      </c>
      <c r="K398" s="6">
        <v>3</v>
      </c>
      <c r="L398" s="6">
        <v>250</v>
      </c>
      <c r="M398" s="6">
        <v>2</v>
      </c>
      <c r="N398" s="6">
        <v>3</v>
      </c>
      <c r="O398" s="6" t="s">
        <v>157</v>
      </c>
      <c r="P398" s="6">
        <v>1</v>
      </c>
      <c r="Q398" s="6">
        <v>4001544</v>
      </c>
      <c r="U398" s="6">
        <v>0</v>
      </c>
      <c r="V398" s="6">
        <v>60000</v>
      </c>
      <c r="W398" s="6">
        <v>1980</v>
      </c>
      <c r="X398" s="6">
        <v>2080</v>
      </c>
      <c r="Y398" s="6">
        <v>2330</v>
      </c>
      <c r="Z398" s="6">
        <f t="shared" si="32"/>
        <v>2380</v>
      </c>
      <c r="AA398" s="6">
        <v>-1</v>
      </c>
      <c r="AB398" s="6" t="s">
        <v>166</v>
      </c>
      <c r="AC398" s="6">
        <v>2</v>
      </c>
      <c r="AD398" s="3">
        <v>0</v>
      </c>
      <c r="AF398" s="41"/>
      <c r="AH398" s="6">
        <v>0</v>
      </c>
      <c r="AI398" s="6">
        <v>0</v>
      </c>
      <c r="AJ398" s="6">
        <v>0</v>
      </c>
      <c r="AK398" s="6">
        <v>1</v>
      </c>
    </row>
    <row r="399" s="6" customFormat="1" spans="1:37">
      <c r="A399" s="6">
        <v>4001545</v>
      </c>
      <c r="B399" s="6">
        <v>4001545</v>
      </c>
      <c r="C399" s="6" t="s">
        <v>174</v>
      </c>
      <c r="D399" s="6" t="s">
        <v>175</v>
      </c>
      <c r="E399" s="22"/>
      <c r="F399" s="6">
        <v>2</v>
      </c>
      <c r="G399" s="6">
        <v>1</v>
      </c>
      <c r="H399" s="6" t="s">
        <v>176</v>
      </c>
      <c r="I399" s="6">
        <v>4</v>
      </c>
      <c r="K399" s="6">
        <v>1</v>
      </c>
      <c r="L399" s="6">
        <v>250</v>
      </c>
      <c r="M399" s="6">
        <v>3</v>
      </c>
      <c r="N399" s="6">
        <v>2</v>
      </c>
      <c r="O399" s="6" t="s">
        <v>363</v>
      </c>
      <c r="P399" s="6">
        <v>1</v>
      </c>
      <c r="Q399" s="6">
        <v>4001545</v>
      </c>
      <c r="U399" s="6">
        <v>0</v>
      </c>
      <c r="V399" s="6">
        <v>6000</v>
      </c>
      <c r="W399" s="6">
        <v>1820</v>
      </c>
      <c r="X399" s="6">
        <v>1920</v>
      </c>
      <c r="Y399" s="6">
        <v>2750</v>
      </c>
      <c r="Z399" s="6">
        <f t="shared" si="32"/>
        <v>2800</v>
      </c>
      <c r="AA399" s="6">
        <v>20000</v>
      </c>
      <c r="AC399" s="6">
        <v>2</v>
      </c>
      <c r="AD399" s="6">
        <v>1</v>
      </c>
      <c r="AE399" s="6" t="s">
        <v>178</v>
      </c>
      <c r="AF399" s="41"/>
      <c r="AH399" s="6">
        <v>0</v>
      </c>
      <c r="AI399" s="6">
        <v>0</v>
      </c>
      <c r="AJ399" s="6">
        <v>0</v>
      </c>
      <c r="AK399" s="6">
        <v>1</v>
      </c>
    </row>
    <row r="400" s="6" customFormat="1" spans="1:37">
      <c r="A400" s="6">
        <v>4001546</v>
      </c>
      <c r="B400" s="6">
        <v>4001546</v>
      </c>
      <c r="C400" s="6" t="s">
        <v>87</v>
      </c>
      <c r="D400" s="6" t="s">
        <v>253</v>
      </c>
      <c r="F400" s="6">
        <v>1</v>
      </c>
      <c r="G400" s="6">
        <v>1</v>
      </c>
      <c r="I400" s="6">
        <v>7</v>
      </c>
      <c r="J400" s="6" t="s">
        <v>254</v>
      </c>
      <c r="K400" s="6">
        <v>3</v>
      </c>
      <c r="L400" s="6">
        <v>250</v>
      </c>
      <c r="M400" s="6">
        <v>1</v>
      </c>
      <c r="N400" s="6">
        <v>1</v>
      </c>
      <c r="O400" s="6">
        <v>0</v>
      </c>
      <c r="P400" s="6">
        <v>1</v>
      </c>
      <c r="Q400" s="6">
        <v>4411101</v>
      </c>
      <c r="U400" s="22">
        <v>0</v>
      </c>
      <c r="V400" s="6">
        <v>10000</v>
      </c>
      <c r="W400" s="6">
        <v>380</v>
      </c>
      <c r="X400" s="6">
        <v>480</v>
      </c>
      <c r="Y400" s="6">
        <v>540</v>
      </c>
      <c r="Z400" s="6">
        <f t="shared" si="32"/>
        <v>590</v>
      </c>
      <c r="AA400" s="6">
        <v>200</v>
      </c>
      <c r="AC400" s="6">
        <v>2</v>
      </c>
      <c r="AD400" s="3">
        <v>0</v>
      </c>
      <c r="AF400" s="41"/>
      <c r="AH400" s="6">
        <v>0</v>
      </c>
      <c r="AI400" s="6">
        <v>0</v>
      </c>
      <c r="AJ400" s="6">
        <v>0</v>
      </c>
      <c r="AK400" s="6">
        <v>0</v>
      </c>
    </row>
    <row r="401" s="6" customFormat="1" spans="1:37">
      <c r="A401" s="6">
        <v>4001547</v>
      </c>
      <c r="B401" s="6">
        <v>4001547</v>
      </c>
      <c r="C401" s="6" t="s">
        <v>255</v>
      </c>
      <c r="D401" s="6" t="s">
        <v>256</v>
      </c>
      <c r="E401" s="22"/>
      <c r="F401" s="6">
        <v>2</v>
      </c>
      <c r="G401" s="6">
        <v>1</v>
      </c>
      <c r="H401" s="6" t="s">
        <v>764</v>
      </c>
      <c r="I401" s="6">
        <v>7</v>
      </c>
      <c r="J401" s="6" t="s">
        <v>258</v>
      </c>
      <c r="K401" s="6">
        <v>3</v>
      </c>
      <c r="L401" s="6">
        <v>250</v>
      </c>
      <c r="M401" s="6">
        <v>2</v>
      </c>
      <c r="N401" s="6">
        <v>2</v>
      </c>
      <c r="O401" s="6" t="s">
        <v>765</v>
      </c>
      <c r="P401" s="6">
        <v>10</v>
      </c>
      <c r="Q401" s="6">
        <v>4411201</v>
      </c>
      <c r="U401" s="22">
        <v>0</v>
      </c>
      <c r="V401" s="6">
        <v>20000</v>
      </c>
      <c r="W401" s="6">
        <v>1820</v>
      </c>
      <c r="X401" s="6" t="s">
        <v>766</v>
      </c>
      <c r="Y401" s="6">
        <v>2830</v>
      </c>
      <c r="Z401" s="6">
        <f t="shared" si="32"/>
        <v>2880</v>
      </c>
      <c r="AA401" s="6">
        <v>-1</v>
      </c>
      <c r="AB401" s="6" t="s">
        <v>186</v>
      </c>
      <c r="AC401" s="6">
        <v>2</v>
      </c>
      <c r="AD401" s="3">
        <v>0</v>
      </c>
      <c r="AF401" s="41"/>
      <c r="AH401" s="6">
        <v>0</v>
      </c>
      <c r="AI401" s="6">
        <v>0</v>
      </c>
      <c r="AJ401" s="6">
        <v>0</v>
      </c>
      <c r="AK401" s="6">
        <v>1</v>
      </c>
    </row>
    <row r="402" s="6" customFormat="1" spans="1:37">
      <c r="A402" s="6">
        <v>4001548</v>
      </c>
      <c r="B402" s="6">
        <v>4001548</v>
      </c>
      <c r="C402" s="6" t="s">
        <v>263</v>
      </c>
      <c r="D402" s="6" t="s">
        <v>264</v>
      </c>
      <c r="E402" s="22"/>
      <c r="F402" s="6">
        <v>2</v>
      </c>
      <c r="G402" s="6">
        <v>1</v>
      </c>
      <c r="H402" s="6" t="s">
        <v>265</v>
      </c>
      <c r="I402" s="6">
        <v>2</v>
      </c>
      <c r="K402" s="6">
        <v>3</v>
      </c>
      <c r="L402" s="6">
        <v>250</v>
      </c>
      <c r="M402" s="6">
        <v>3</v>
      </c>
      <c r="N402" s="6">
        <v>2</v>
      </c>
      <c r="O402" s="6" t="s">
        <v>363</v>
      </c>
      <c r="P402" s="6">
        <v>20</v>
      </c>
      <c r="Q402" s="6">
        <v>-1</v>
      </c>
      <c r="R402" s="6" t="s">
        <v>266</v>
      </c>
      <c r="U402" s="22">
        <v>0</v>
      </c>
      <c r="V402" s="6">
        <v>20000</v>
      </c>
      <c r="W402" s="6">
        <v>1820</v>
      </c>
      <c r="X402" s="6" t="s">
        <v>767</v>
      </c>
      <c r="Y402" s="6">
        <v>4580</v>
      </c>
      <c r="Z402" s="6">
        <f t="shared" si="32"/>
        <v>4630</v>
      </c>
      <c r="AA402" s="6">
        <v>22000</v>
      </c>
      <c r="AC402" s="6">
        <v>2</v>
      </c>
      <c r="AD402" s="3">
        <v>0</v>
      </c>
      <c r="AF402" s="41"/>
      <c r="AH402" s="6">
        <v>0</v>
      </c>
      <c r="AI402" s="6">
        <v>0</v>
      </c>
      <c r="AJ402" s="6">
        <v>0</v>
      </c>
      <c r="AK402" s="6">
        <v>1</v>
      </c>
    </row>
    <row r="403" s="22" customFormat="1" spans="1:37">
      <c r="A403" s="6">
        <v>4001549</v>
      </c>
      <c r="B403" s="6">
        <v>4001549</v>
      </c>
      <c r="C403" s="22" t="s">
        <v>87</v>
      </c>
      <c r="D403" s="6" t="s">
        <v>624</v>
      </c>
      <c r="E403" s="6"/>
      <c r="F403" s="6">
        <v>1</v>
      </c>
      <c r="G403" s="6">
        <v>1</v>
      </c>
      <c r="H403" s="6"/>
      <c r="I403" s="6">
        <v>7</v>
      </c>
      <c r="J403" s="6" t="s">
        <v>760</v>
      </c>
      <c r="K403" s="6">
        <v>3</v>
      </c>
      <c r="L403" s="6">
        <v>250</v>
      </c>
      <c r="M403" s="6">
        <v>1</v>
      </c>
      <c r="N403" s="6">
        <v>1</v>
      </c>
      <c r="O403" s="6">
        <v>0</v>
      </c>
      <c r="P403" s="6">
        <v>1</v>
      </c>
      <c r="Q403" s="6">
        <v>-1</v>
      </c>
      <c r="R403" s="6"/>
      <c r="S403" s="6"/>
      <c r="T403" s="6"/>
      <c r="U403" s="6">
        <v>0</v>
      </c>
      <c r="V403" s="6">
        <v>10000</v>
      </c>
      <c r="W403" s="6">
        <v>650</v>
      </c>
      <c r="X403" s="6">
        <v>750</v>
      </c>
      <c r="Y403" s="6">
        <v>920</v>
      </c>
      <c r="Z403" s="6">
        <f t="shared" si="32"/>
        <v>970</v>
      </c>
      <c r="AA403" s="6">
        <v>450</v>
      </c>
      <c r="AB403" s="6"/>
      <c r="AC403" s="6">
        <v>2</v>
      </c>
      <c r="AD403" s="3">
        <v>0</v>
      </c>
      <c r="AE403" s="6"/>
      <c r="AF403" s="41"/>
      <c r="AG403" s="6"/>
      <c r="AH403" s="6">
        <v>0</v>
      </c>
      <c r="AI403" s="6">
        <v>0</v>
      </c>
      <c r="AJ403" s="6">
        <v>0</v>
      </c>
      <c r="AK403" s="6">
        <v>0</v>
      </c>
    </row>
    <row r="404" s="22" customFormat="1" spans="1:37">
      <c r="A404" s="6">
        <v>4001550</v>
      </c>
      <c r="B404" s="6">
        <v>4001550</v>
      </c>
      <c r="C404" s="22" t="s">
        <v>242</v>
      </c>
      <c r="D404" s="6" t="s">
        <v>627</v>
      </c>
      <c r="E404" s="6"/>
      <c r="F404" s="6">
        <v>2</v>
      </c>
      <c r="G404" s="6">
        <v>1</v>
      </c>
      <c r="H404" s="6" t="s">
        <v>628</v>
      </c>
      <c r="I404" s="6">
        <v>7</v>
      </c>
      <c r="J404" s="6" t="s">
        <v>761</v>
      </c>
      <c r="K404" s="6">
        <v>3</v>
      </c>
      <c r="L404" s="6">
        <v>250</v>
      </c>
      <c r="M404" s="6">
        <v>2</v>
      </c>
      <c r="N404" s="6">
        <v>2</v>
      </c>
      <c r="O404" s="6" t="s">
        <v>762</v>
      </c>
      <c r="P404" s="6">
        <v>1</v>
      </c>
      <c r="Q404" s="6">
        <v>-1</v>
      </c>
      <c r="R404" s="6"/>
      <c r="S404" s="6"/>
      <c r="T404" s="6"/>
      <c r="U404" s="6">
        <v>0</v>
      </c>
      <c r="V404" s="6">
        <v>10000</v>
      </c>
      <c r="W404" s="6">
        <v>480</v>
      </c>
      <c r="X404" s="6">
        <v>580</v>
      </c>
      <c r="Y404" s="6">
        <v>750</v>
      </c>
      <c r="Z404" s="6">
        <f t="shared" si="32"/>
        <v>800</v>
      </c>
      <c r="AA404" s="6">
        <v>-1</v>
      </c>
      <c r="AB404" s="6" t="s">
        <v>133</v>
      </c>
      <c r="AC404" s="6">
        <v>2</v>
      </c>
      <c r="AD404" s="3">
        <v>0</v>
      </c>
      <c r="AE404" s="6"/>
      <c r="AF404" s="41"/>
      <c r="AG404" s="6"/>
      <c r="AH404" s="6">
        <v>0</v>
      </c>
      <c r="AI404" s="6">
        <v>0</v>
      </c>
      <c r="AJ404" s="6">
        <v>0</v>
      </c>
      <c r="AK404" s="6">
        <v>1</v>
      </c>
    </row>
    <row r="405" s="22" customFormat="1" spans="1:37">
      <c r="A405" s="6">
        <v>4001551</v>
      </c>
      <c r="B405" s="6">
        <v>4001551</v>
      </c>
      <c r="C405" s="22" t="s">
        <v>248</v>
      </c>
      <c r="D405" s="6" t="s">
        <v>630</v>
      </c>
      <c r="E405" s="6"/>
      <c r="F405" s="6">
        <v>2</v>
      </c>
      <c r="G405" s="6">
        <v>1</v>
      </c>
      <c r="H405" s="6" t="s">
        <v>631</v>
      </c>
      <c r="I405" s="6">
        <v>2</v>
      </c>
      <c r="J405" s="6"/>
      <c r="K405" s="6">
        <v>3</v>
      </c>
      <c r="L405" s="6">
        <v>250</v>
      </c>
      <c r="M405" s="6">
        <v>3</v>
      </c>
      <c r="N405" s="6">
        <v>3</v>
      </c>
      <c r="O405" s="6" t="s">
        <v>363</v>
      </c>
      <c r="P405" s="6">
        <v>10</v>
      </c>
      <c r="Q405" s="6">
        <v>4206301</v>
      </c>
      <c r="R405" s="6"/>
      <c r="S405" s="6"/>
      <c r="T405" s="6"/>
      <c r="U405" s="6">
        <v>0</v>
      </c>
      <c r="V405" s="6">
        <v>20000</v>
      </c>
      <c r="W405" s="6">
        <v>1900</v>
      </c>
      <c r="X405" s="6" t="s">
        <v>763</v>
      </c>
      <c r="Y405" s="6">
        <v>2170</v>
      </c>
      <c r="Z405" s="6">
        <v>3920</v>
      </c>
      <c r="AA405" s="6">
        <v>15000</v>
      </c>
      <c r="AB405" s="6"/>
      <c r="AC405" s="6">
        <v>2</v>
      </c>
      <c r="AD405" s="6">
        <v>1</v>
      </c>
      <c r="AE405" s="6" t="s">
        <v>739</v>
      </c>
      <c r="AF405" s="41"/>
      <c r="AG405" s="6"/>
      <c r="AH405" s="6">
        <v>0</v>
      </c>
      <c r="AI405" s="6">
        <v>0</v>
      </c>
      <c r="AJ405" s="6">
        <v>0</v>
      </c>
      <c r="AK405" s="6">
        <v>1</v>
      </c>
    </row>
    <row r="406" s="16" customFormat="1" spans="1:37">
      <c r="A406" s="6">
        <v>4001990</v>
      </c>
      <c r="B406" s="6">
        <v>4001990</v>
      </c>
      <c r="C406" s="16" t="s">
        <v>162</v>
      </c>
      <c r="D406" s="16" t="s">
        <v>768</v>
      </c>
      <c r="F406" s="16">
        <v>2</v>
      </c>
      <c r="G406" s="16">
        <v>1</v>
      </c>
      <c r="H406" s="16" t="s">
        <v>170</v>
      </c>
      <c r="I406" s="16">
        <v>7</v>
      </c>
      <c r="J406" s="16" t="s">
        <v>171</v>
      </c>
      <c r="K406" s="16">
        <v>3</v>
      </c>
      <c r="L406" s="16">
        <v>350</v>
      </c>
      <c r="M406" s="16">
        <v>2</v>
      </c>
      <c r="N406" s="16">
        <v>1</v>
      </c>
      <c r="O406" s="16">
        <v>0</v>
      </c>
      <c r="P406" s="16">
        <v>1</v>
      </c>
      <c r="Q406" s="16">
        <v>4405201</v>
      </c>
      <c r="U406" s="16">
        <v>0</v>
      </c>
      <c r="V406" s="16">
        <v>30000</v>
      </c>
      <c r="W406" s="6">
        <v>730</v>
      </c>
      <c r="X406" s="16">
        <v>830</v>
      </c>
      <c r="Y406" s="16">
        <v>1080</v>
      </c>
      <c r="Z406" s="6">
        <v>1130</v>
      </c>
      <c r="AA406" s="16">
        <v>-1</v>
      </c>
      <c r="AB406" s="16" t="s">
        <v>92</v>
      </c>
      <c r="AC406" s="16">
        <v>2</v>
      </c>
      <c r="AD406" s="16">
        <v>1</v>
      </c>
      <c r="AE406" s="16" t="s">
        <v>172</v>
      </c>
      <c r="AF406" s="23" t="s">
        <v>168</v>
      </c>
      <c r="AG406" s="16" t="s">
        <v>173</v>
      </c>
      <c r="AH406" s="6">
        <v>0</v>
      </c>
      <c r="AI406" s="6">
        <v>0</v>
      </c>
      <c r="AJ406" s="16">
        <v>0</v>
      </c>
      <c r="AK406" s="16">
        <v>0</v>
      </c>
    </row>
    <row r="407" s="16" customFormat="1" spans="1:37">
      <c r="A407" s="6">
        <v>4001991</v>
      </c>
      <c r="B407" s="6">
        <v>4001991</v>
      </c>
      <c r="C407" s="16" t="s">
        <v>174</v>
      </c>
      <c r="D407" s="16" t="s">
        <v>768</v>
      </c>
      <c r="F407" s="16">
        <v>2</v>
      </c>
      <c r="G407" s="16">
        <v>1</v>
      </c>
      <c r="H407" s="16" t="s">
        <v>125</v>
      </c>
      <c r="I407" s="16">
        <v>4</v>
      </c>
      <c r="K407" s="16">
        <v>1</v>
      </c>
      <c r="L407" s="16">
        <v>350</v>
      </c>
      <c r="M407" s="16">
        <v>3</v>
      </c>
      <c r="N407" s="16">
        <v>2</v>
      </c>
      <c r="O407" s="6" t="s">
        <v>177</v>
      </c>
      <c r="P407" s="16">
        <v>1</v>
      </c>
      <c r="Q407" s="16">
        <v>4405301</v>
      </c>
      <c r="U407" s="16">
        <v>0</v>
      </c>
      <c r="V407" s="16">
        <v>5000</v>
      </c>
      <c r="W407" s="6">
        <v>1400</v>
      </c>
      <c r="X407" s="16">
        <v>1500</v>
      </c>
      <c r="Y407" s="16">
        <v>2000</v>
      </c>
      <c r="Z407" s="6">
        <v>2050</v>
      </c>
      <c r="AA407" s="16">
        <v>8000</v>
      </c>
      <c r="AC407" s="16">
        <v>2</v>
      </c>
      <c r="AD407" s="16">
        <v>1</v>
      </c>
      <c r="AE407" s="16" t="s">
        <v>179</v>
      </c>
      <c r="AF407" s="23"/>
      <c r="AH407" s="6">
        <v>0</v>
      </c>
      <c r="AI407" s="6">
        <v>0</v>
      </c>
      <c r="AJ407" s="16">
        <v>0</v>
      </c>
      <c r="AK407" s="16">
        <v>0</v>
      </c>
    </row>
    <row r="408" s="4" customFormat="1" spans="1:37">
      <c r="A408" s="6">
        <v>4001992</v>
      </c>
      <c r="B408" s="6">
        <v>4001992</v>
      </c>
      <c r="C408" s="4" t="s">
        <v>87</v>
      </c>
      <c r="D408" s="4" t="s">
        <v>160</v>
      </c>
      <c r="F408" s="4">
        <v>1</v>
      </c>
      <c r="G408" s="4">
        <v>1</v>
      </c>
      <c r="I408" s="4">
        <v>1</v>
      </c>
      <c r="K408" s="4">
        <v>3</v>
      </c>
      <c r="L408" s="4">
        <v>100</v>
      </c>
      <c r="M408" s="4">
        <v>1</v>
      </c>
      <c r="N408" s="4">
        <v>1</v>
      </c>
      <c r="O408" s="4">
        <v>0</v>
      </c>
      <c r="P408" s="4">
        <v>1</v>
      </c>
      <c r="Q408" s="4">
        <v>4405101</v>
      </c>
      <c r="U408" s="4">
        <v>0</v>
      </c>
      <c r="V408" s="4">
        <v>1000</v>
      </c>
      <c r="W408" s="6">
        <f>X408-100</f>
        <v>400</v>
      </c>
      <c r="X408" s="4">
        <v>500</v>
      </c>
      <c r="Y408" s="4">
        <v>750</v>
      </c>
      <c r="Z408" s="6">
        <f t="shared" si="32"/>
        <v>800</v>
      </c>
      <c r="AA408" s="4">
        <v>250</v>
      </c>
      <c r="AC408" s="4">
        <v>1</v>
      </c>
      <c r="AD408" s="3">
        <v>0</v>
      </c>
      <c r="AF408" s="41"/>
      <c r="AH408" s="6">
        <v>0</v>
      </c>
      <c r="AI408" s="6">
        <v>0</v>
      </c>
      <c r="AJ408" s="4">
        <v>0</v>
      </c>
      <c r="AK408" s="4">
        <v>0</v>
      </c>
    </row>
    <row r="409" s="6" customFormat="1" spans="1:37">
      <c r="A409" s="6">
        <v>4001993</v>
      </c>
      <c r="B409" s="6">
        <v>4001993</v>
      </c>
      <c r="C409" s="6" t="s">
        <v>738</v>
      </c>
      <c r="D409" s="6" t="s">
        <v>87</v>
      </c>
      <c r="F409" s="6">
        <v>1</v>
      </c>
      <c r="G409" s="6">
        <v>1</v>
      </c>
      <c r="I409" s="6">
        <v>1</v>
      </c>
      <c r="K409" s="6">
        <v>3</v>
      </c>
      <c r="L409" s="6">
        <v>150</v>
      </c>
      <c r="M409" s="6">
        <v>1</v>
      </c>
      <c r="N409" s="6">
        <v>1</v>
      </c>
      <c r="O409" s="6">
        <v>0</v>
      </c>
      <c r="P409" s="6">
        <v>1</v>
      </c>
      <c r="Q409" s="6">
        <v>4001509</v>
      </c>
      <c r="U409" s="22">
        <v>0</v>
      </c>
      <c r="V409" s="6">
        <v>10000</v>
      </c>
      <c r="W409" s="6">
        <f>X409-100</f>
        <v>610</v>
      </c>
      <c r="X409" s="6">
        <v>710</v>
      </c>
      <c r="Y409" s="6">
        <v>950</v>
      </c>
      <c r="Z409" s="6">
        <f t="shared" si="32"/>
        <v>1000</v>
      </c>
      <c r="AA409" s="22">
        <v>1500</v>
      </c>
      <c r="AC409" s="6">
        <v>1</v>
      </c>
      <c r="AD409" s="3">
        <v>0</v>
      </c>
      <c r="AF409" s="41"/>
      <c r="AH409" s="6">
        <v>0</v>
      </c>
      <c r="AI409" s="6">
        <v>0</v>
      </c>
      <c r="AJ409" s="6">
        <v>0</v>
      </c>
      <c r="AK409" s="6">
        <v>0</v>
      </c>
    </row>
    <row r="410" s="6" customFormat="1" spans="1:37">
      <c r="A410" s="6">
        <v>4001994</v>
      </c>
      <c r="B410" s="6">
        <v>4001994</v>
      </c>
      <c r="C410" s="6" t="s">
        <v>738</v>
      </c>
      <c r="D410" s="6" t="s">
        <v>726</v>
      </c>
      <c r="F410" s="6">
        <v>2</v>
      </c>
      <c r="G410" s="6">
        <v>1</v>
      </c>
      <c r="I410" s="6">
        <v>2</v>
      </c>
      <c r="K410" s="6">
        <v>3</v>
      </c>
      <c r="L410" s="6">
        <v>150</v>
      </c>
      <c r="M410" s="6">
        <v>2</v>
      </c>
      <c r="N410" s="6">
        <v>3</v>
      </c>
      <c r="O410" s="6" t="s">
        <v>100</v>
      </c>
      <c r="P410" s="6">
        <v>10</v>
      </c>
      <c r="Q410" s="6">
        <v>4001510</v>
      </c>
      <c r="U410" s="22">
        <v>0</v>
      </c>
      <c r="V410" s="6">
        <v>20000</v>
      </c>
      <c r="W410" s="6">
        <f>X410-100</f>
        <v>3320</v>
      </c>
      <c r="X410" s="6">
        <v>3420</v>
      </c>
      <c r="Y410" s="6">
        <v>3830</v>
      </c>
      <c r="Z410" s="6">
        <f t="shared" si="32"/>
        <v>3880</v>
      </c>
      <c r="AA410" s="22">
        <v>-1</v>
      </c>
      <c r="AB410" s="6" t="s">
        <v>92</v>
      </c>
      <c r="AC410" s="6">
        <v>1</v>
      </c>
      <c r="AD410" s="3">
        <v>0</v>
      </c>
      <c r="AE410" s="6" t="s">
        <v>739</v>
      </c>
      <c r="AF410" s="41"/>
      <c r="AH410" s="6">
        <v>0</v>
      </c>
      <c r="AI410" s="6">
        <v>0</v>
      </c>
      <c r="AJ410" s="6">
        <v>0</v>
      </c>
      <c r="AK410" s="6">
        <v>1</v>
      </c>
    </row>
  </sheetData>
  <autoFilter ref="A1:AJ410">
    <extLst/>
  </autoFilter>
  <conditionalFormatting sqref="B5">
    <cfRule type="duplicateValues" dxfId="0" priority="75"/>
  </conditionalFormatting>
  <conditionalFormatting sqref="A100">
    <cfRule type="duplicateValues" dxfId="1" priority="1"/>
  </conditionalFormatting>
  <conditionalFormatting sqref="Q397">
    <cfRule type="duplicateValues" dxfId="1" priority="6"/>
  </conditionalFormatting>
  <conditionalFormatting sqref="B408">
    <cfRule type="duplicateValues" dxfId="0" priority="54"/>
  </conditionalFormatting>
  <conditionalFormatting sqref="B150:B155">
    <cfRule type="duplicateValues" dxfId="1" priority="8"/>
  </conditionalFormatting>
  <conditionalFormatting sqref="B365:B368">
    <cfRule type="duplicateValues" dxfId="0" priority="43"/>
  </conditionalFormatting>
  <conditionalFormatting sqref="B369:B377">
    <cfRule type="duplicateValues" dxfId="0" priority="42"/>
  </conditionalFormatting>
  <conditionalFormatting sqref="B378:B382">
    <cfRule type="duplicateValues" dxfId="0" priority="35"/>
  </conditionalFormatting>
  <conditionalFormatting sqref="B383:B385">
    <cfRule type="duplicateValues" dxfId="0" priority="34"/>
  </conditionalFormatting>
  <conditionalFormatting sqref="B386:B387">
    <cfRule type="duplicateValues" dxfId="1" priority="9"/>
  </conditionalFormatting>
  <conditionalFormatting sqref="B388:B405">
    <cfRule type="duplicateValues" dxfId="1" priority="10"/>
  </conditionalFormatting>
  <conditionalFormatting sqref="B409:B410">
    <cfRule type="duplicateValues" dxfId="0" priority="50"/>
  </conditionalFormatting>
  <conditionalFormatting sqref="Q388:Q390">
    <cfRule type="duplicateValues" dxfId="1" priority="7"/>
  </conditionalFormatting>
  <conditionalFormatting sqref="Q409:Q410">
    <cfRule type="duplicateValues" dxfId="0" priority="51"/>
  </conditionalFormatting>
  <conditionalFormatting sqref="A1:A99 A101:A1048576">
    <cfRule type="duplicateValues" dxfId="1" priority="433"/>
  </conditionalFormatting>
  <conditionalFormatting sqref="B1:B3 B411:B1048576">
    <cfRule type="duplicateValues" dxfId="0" priority="432"/>
  </conditionalFormatting>
  <dataValidations count="1">
    <dataValidation allowBlank="1" showInputMessage="1" showErrorMessage="1" sqref="K5:L5 M5 N5 K6 L6 M6 N6 AE7 AE10 I13 K13 L13 N13 AE13 AF15 AF16 N27 AF27 AG27 AF30:AG30 AE33 F36 I36 K36 L36 M36 N36 AE36 AF36:AG36 AF37:AG37 I43 AE43 AE44 L45 AE45 L46 AE46 AF46 AG46 AF47:AG47 AF48 AG48 K50 L50 AE57 AF58 AG58 AF59 AG59 AF60 AG60 AE62 AE63 AE64 AE71 AE72 L73 AE73 L74 AE74 AE75 AE76 AE77 AE82 K85 L85 N85 K92 N92 AE92 F99 K99 L99 M99 N99 AE99 AF99:AG99 F100 I100 K100 L100 M100 N100 AE100 AF100:AG100 AE111 AE114 N121 AE128 AE129 AE130 AE131 AE132 L133 AE133 L134 AE134 N135 I141 AE142 F149 I149 K149 L149 M149 N149 AE149 AF149:AG149 AE158 AE159 L160 N160 AE160 L161 N161 AE161 L162 N162 AE162 AE175 AE176 K228 K229 I248 AE248 I249 AE249 I250 AE250 AE251 AE252 AE253 AE258 AE261 AE262 AE265 AE266 AE267 AE294 AE295 AE296 M303 M331 AE331 L355 F356 K356 L356 N356 K365 K366 M366 I367 I368 K369 M369 K370 M370 F371 K371 M371 N371 F372 K372 M372 N372 K373 M373 K374 M374 K375 M375 AE375 K376 M376 AE376 K377 M377 K378 M378 K379 M379 K380 M380 K381 M381 K382 M382 F383 I383 K383 M383 N383 AE383 AF383:AG383 AE384 AE385 K386 M386 AE386 K387 M387 AE387 AE388 AE389 F390 I390 K390 L390 M390 N390 AE390 AF390:AG390 F391 I391 K391 L391 M391 N391 AE391 AF391:AG391 F392 I392 K392 L392 M392 N392 AE392 AF392:AG392 F393 I393 K393 L393 M393 N393 AE393 AF393:AG393 F394 I394 K394 M394 N394 AE394 AF394:AG394 F395 I395 K395 M395 N395 AE395 AF395:AG395 F396 I396 K396 M396 N396 AE396 AF396:AG396 F397 I397 K397 M397 N397 AE397 AF397:AG397 F398 I398 K398 M398 N398 AE398 AF398:AG398 F399 I399 K399 M399 N399 AE399 AF399:AG399 F402 I402 K402 L402 M402 N402 AE402 AF402:AG402 F403 I403 K403 M403 N403 AE403 AF403:AG403 F404 I404 K404 M404 N404 AE404 AF404:AG404 F405 I405 K405 L405 M405 N405 AE405 AF405:AG405 I406 F408 I408 K408 L408 M408 N408 AE408 AF408:AG408 K409 L409 M409 AE409 K410 L410 M410 AE410 F6:F19 F20:F26 F27:F29 F30:F35 F37:F84 F85:F91 F92:F98 F101:F106 F107:F120 F121:F127 F128:F134 F135:F141 F142:F148 F150:F152 F153:F155 F156:F157 F158:F162 F163:F253 F254:F260 F261:F295 F296:F299 F300:F337 F338:F347 F348:F351 F353:F354 F358:F359 F362:F363 F365:F366 F367:F368 F369:F370 F373:F374 F375:F376 F377:F378 F379:F380 F381:F382 F384:F385 F386:F387 F388:F389 F400:F401 F409:F410 I5:I6 I7:I9 I10:I12 I14:I19 I20:I26 I27:I29 I30:I35 I37:I39 I40:I42 I44:I46 I47:I50 I51:I53 I54:I56 I57:I67 I68:I70 I71:I77 I78:I81 I82:I99 I101:I127 I128:I134 I135:I140 I142:I145 I146:I148 I150:I152 I153:I155 I156:I157 I158:I159 I160:I162 I163:I183 I184:I190 I191:I219 I220:I222 I223:I225 I226:I229 I230:I247 I251:I331 I332:I334 I335:I366 I369:I370 I371:I372 I373:I374 I375:I376 I377:I378 I379:I380 I381:I382 I384:I385 I386:I387 I388:I389 I400:I401 I409:I410 K7:K9 K10:K12 K14:K16 K17:K19 K20:K26 K27:K29 K30:K35 K37:K39 K40:K42 K43:K46 K47:K49 K51:K53 K54:K56 K57:K64 K65:K67 K68:K70 K71:K80 K81:K84 K86:K91 K93:K98 K101:K106 K107:K120 K121:K127 K128:K134 K135:K141 K142:K148 K150:K152 K153:K155 K156:K157 K158:K162 K163:K227 K230:K253 K254:K257 K258:K260 K261:K295 K296:K299 K300:K317 K318:K320 K321:K331 K332:K334 K335:K337 K338:K347 K348:K351 K353:K354 K358:K359 K362:K363 K367:K368 K384:K385 K388:K389 K400:K401 L7:L9 L10:L12 L14:L16 L17:L19 L20:L26 L27:L29 L30:L35 L37:L39 L40:L42 L43:L44 L47:L49 L51:L53 L54:L56 L57:L64 L65:L70 L71:L72 L75:L80 L81:L84 L86:L91 L92:L98 L101:L106 L107:L120 L121:L127 L128:L132 L135:L141 L142:L148 L150:L152 L153:L155 L156:L157 L158:L159 L163:L253 L254:L260 L261:L295 L296:L299 L300:L317 L318:L320 L321:L331 L332:L334 L335:L337 L338:L351 L353:L354 L358:L359 L362:L363 L365:L366 L367:L368 L369:L370 L371:L372 L373:L374 L375:L376 L377:L378 L379:L380 L381:L382 L383:L385 L386:L387 L388:L389 L394:L395 L396:L398 L399:L401 L403:L404 M7:M9 M10:M12 M13:M26 M27:M29 M30:M35 M37:M84 M85:M91 M92:M98 M101:M127 M128:M134 M135:M141 M142:M148 M150:M152 M153:M155 M156:M157 M158:M162 M163:M299 M300:M302 M304:M306 M307:M309 M310:M313 M314:M316 M317:M324 M325:M327 M328:M330 M332:M334 M335:M337 M338:M365 M367:M368 M384:M385 M388:M389 M400:M401 N7:N9 N10:N12 N14:N16 N17:N19 N20:N26 N28:N29 N30:N32 N33:N35 N37:N43 N44:N46 N47:N50 N51:N53 N54:N56 N57:N64 N65:N67 N68:N70 N71:N81 N82:N84 N86:N88 N89:N91 N93:N95 N96:N98 N101:N106 N107:N120 N122:N124 N125:N127 N128:N134 N136:N141 N142:N148 N150:N152 N153:N155 N156:N157 N158:N159 N163:N246 N247:N250 N251:N253 N254:N257 N258:N260 N261:N278 N279:N281 N282:N295 N296:N299 N300:N317 N318:N320 N321:N334 N335:N337 N338:N347 N348:N351 N353:N355 N358:N360 N362:N364 N365:N366 N367:N368 N369:N370 N373:N374 N375:N376 N377:N378 N379:N380 N381:N382 N384:N385 N386:N387 N388:N389 N400:N401 N409:N410 AE5:AE6 AE8:AE9 AE11:AE12 AE14:AE16 AE17:AE19 AE20:AE23 AE24:AE26 AE27:AE29 AE30:AE32 AE34:AE35 AE37:AE38 AE39:AE40 AE41:AE42 AE47:AE50 AE51:AE53 AE54:AE56 AE58:AE61 AE65:AE67 AE68:AE70 AE78:AE79 AE80:AE81 AE83:AE84 AE85:AE86 AE87:AE88 AE89:AE91 AE93:AE95 AE96:AE98 AE101:AE103 AE104:AE108 AE109:AE110 AE112:AE113 AE115:AE116 AE117:AE118 AE119:AE120 AE121:AE124 AE125:AE127 AE135:AE139 AE140:AE141 AE143:AE145 AE146:AE148 AE150:AE152 AE153:AE155 AE156:AE157 AE163:AE174 AE177:AE220 AE221:AE225 AE226:AE227 AE228:AE229 AE230:AE232 AE233:AE247 AE254:AE257 AE259:AE260 AE263:AE264 AE268:AE276 AE277:AE278 AE279:AE281 AE282:AE293 AE297:AE299 AE300:AE303 AE304:AE306 AE307:AE309 AE310:AE311 AE312:AE313 AE314:AE324 AE325:AE327 AE328:AE330 AE332:AE334 AE335:AE337 AE338:AE351 AE354:AE356 AE359:AE360 AE363:AE366 AE367:AE368 AE369:AE370 AE371:AE372 AE373:AE374 AE377:AE378 AE379:AE380 AE381:AE382 AE400:AE401 AF22:AF23 AF28:AF29 AF38:AF39 AF384:AF385 AG15:AG16 AG22:AG23 AG28:AG29 AG38:AG39 AG384:AG385 AF31:AG32 AF359:AG360 AF367:AG368 AF369:AG370 AF371:AG372 AF373:AG374 AF375:AG376 AF377:AG378 AF379:AG380 AF381:AG382 AF409:AG410 AF66:AG67 AF156:AG157 AF240:AG241 AF242:AG243 AF386:AG387 AF388:AG389 AF400:AG401 AF68:AG84 AF5:AG14 AF85:AG91 AF92:AG98 AF24:AG26 AF33:AG35 AF150:AG152 AF153:AG155 AF354:AG356 AF163:AG239 AF17:AG21 AF101:AG127 AF128:AG134 AF135:AG141 AF142:AG148 AF158:AG162 AF363:AG366 AF244:AG264 AF268:AG351 AF61:AG65 AF49:AG57 AF40:AG45"/>
  </dataValidations>
  <pageMargins left="0.7" right="0.7" top="0.75" bottom="0.75" header="0.3" footer="0.3"/>
  <pageSetup paperSize="9" orientation="portrait"/>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涂兵</cp:lastModifiedBy>
  <dcterms:created xsi:type="dcterms:W3CDTF">2015-06-06T02:19:00Z</dcterms:created>
  <dcterms:modified xsi:type="dcterms:W3CDTF">2024-08-09T02:40:51Z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4BAF435D544A43FDAC40287327D6DE04</vt:lpwstr>
  </property>
  <property fmtid="{D5CDD505-2E9C-101B-9397-08002B2CF9AE}" pid="3" name="KSOProductBuildVer">
    <vt:lpwstr>2052-12.1.0.17150</vt:lpwstr>
  </property>
  <property fmtid="{D5CDD505-2E9C-101B-9397-08002B2CF9AE}" pid="4" name="KSOReadingLayout">
    <vt:bool>true</vt:bool>
  </property>
</Properties>
</file>