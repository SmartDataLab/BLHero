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Sheet1!$K$1:$K$148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A5" authorId="0">
      <text>
        <r>
          <rPr>
            <b/>
            <sz val="9"/>
            <rFont val="宋体"/>
            <charset val="134"/>
          </rPr>
          <t>ID不要改，需预留ID段</t>
        </r>
      </text>
    </comment>
    <comment ref="C5" authorId="0">
      <text>
        <r>
          <rPr>
            <b/>
            <sz val="9"/>
            <rFont val="宋体"/>
            <charset val="134"/>
          </rPr>
          <t>1普通充值
2通行证商品
3永久去广告商品
4.每日首充
5.珍宝阁商品
6.修仙令（废弃）
7.通天塔特权商品
8.限时礼包商品
9.成长基金商品
10.首充
11.特权卡
12.直购活动商品
13.经验类战令购买高级
14.目标类战令购买高级</t>
        </r>
      </text>
    </comment>
    <comment ref="D5" authorId="0">
      <text>
        <r>
          <rPr>
            <b/>
            <sz val="9"/>
            <rFont val="宋体"/>
            <charset val="134"/>
          </rPr>
          <t>不同逻辑类型填不同参数
1类型：不填
2类型：填对应的通行证活动类型ID
4类型：1是打包购买，0是拆开购买
5类型：特权类型礼包填特权表ID，否则不填
9类型：填基金期数
12类型：填活动ID
13类型：填活动ID</t>
        </r>
      </text>
    </comment>
    <comment ref="F5" authorId="1">
      <text>
        <r>
          <rPr>
            <b/>
            <sz val="9"/>
            <rFont val="宋体"/>
            <charset val="134"/>
          </rPr>
          <t>只是用来保存金额数据，程序里面不要读，在测试环境中把对应金额全部复制到money那一列</t>
        </r>
      </text>
    </comment>
    <comment ref="G5" authorId="1">
      <text>
        <r>
          <rPr>
            <b/>
            <sz val="9"/>
            <rFont val="宋体"/>
            <charset val="134"/>
          </rPr>
          <t>只是用来保存金额数据，程序里面不要读，在正式环境中把对应金额全部复制到money那一列</t>
        </r>
      </text>
    </comment>
    <comment ref="I5" authorId="0">
      <text>
        <r>
          <rPr>
            <b/>
            <sz val="9"/>
            <rFont val="宋体"/>
            <charset val="134"/>
          </rPr>
          <t>最终充值奖励=充值奖励+if（首充额外奖励）+贵族经验奖励+具体活动内设定奖励</t>
        </r>
      </text>
    </comment>
    <comment ref="I1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需要把下面关联的奖励读配进来</t>
        </r>
      </text>
    </comment>
  </commentList>
</comments>
</file>

<file path=xl/sharedStrings.xml><?xml version="1.0" encoding="utf-8"?>
<sst xmlns="http://schemas.openxmlformats.org/spreadsheetml/2006/main" count="718" uniqueCount="268">
  <si>
    <t>#name RechargeProduct</t>
  </si>
  <si>
    <t>#unique id</t>
  </si>
  <si>
    <t>#collector productType</t>
  </si>
  <si>
    <t>id</t>
  </si>
  <si>
    <t>name</t>
  </si>
  <si>
    <t>productType</t>
  </si>
  <si>
    <t>productParam</t>
  </si>
  <si>
    <t>money</t>
  </si>
  <si>
    <t>testMoney</t>
  </si>
  <si>
    <t>realMoney</t>
  </si>
  <si>
    <t>productCode</t>
  </si>
  <si>
    <t>rewards</t>
  </si>
  <si>
    <t>firstRewards</t>
  </si>
  <si>
    <t>noble</t>
  </si>
  <si>
    <t>priceTxt</t>
  </si>
  <si>
    <t>describe</t>
  </si>
  <si>
    <t>rebate</t>
  </si>
  <si>
    <t>int</t>
  </si>
  <si>
    <t>lang</t>
  </si>
  <si>
    <t>string</t>
  </si>
  <si>
    <t>long</t>
  </si>
  <si>
    <t>reward[]</t>
  </si>
  <si>
    <t>reward</t>
  </si>
  <si>
    <t>*</t>
  </si>
  <si>
    <t>-</t>
  </si>
  <si>
    <t>S</t>
  </si>
  <si>
    <t>C</t>
  </si>
  <si>
    <t>充值商品ID</t>
  </si>
  <si>
    <t>商品名称</t>
  </si>
  <si>
    <t>商品逻辑类型</t>
  </si>
  <si>
    <t>商品充值参数</t>
  </si>
  <si>
    <t>金额单位分</t>
  </si>
  <si>
    <t>测试金额单位分</t>
  </si>
  <si>
    <t>真实金额单位分</t>
  </si>
  <si>
    <t>商品编码</t>
  </si>
  <si>
    <t>充值奖励</t>
  </si>
  <si>
    <t>首充额外奖励</t>
  </si>
  <si>
    <t>贵族经验奖励</t>
  </si>
  <si>
    <t>价格文本</t>
  </si>
  <si>
    <t>商品描述</t>
  </si>
  <si>
    <t>返利</t>
  </si>
  <si>
    <t>6元充值</t>
  </si>
  <si>
    <t>AA.sss.6</t>
  </si>
  <si>
    <t>1#500|2#120</t>
  </si>
  <si>
    <t>1#100|2#200</t>
  </si>
  <si>
    <t>7#60</t>
  </si>
  <si>
    <t>6元</t>
  </si>
  <si>
    <t>A</t>
  </si>
  <si>
    <t>18元充值</t>
  </si>
  <si>
    <t>AA.sss.18</t>
  </si>
  <si>
    <t>1#1000|2#360</t>
  </si>
  <si>
    <t>7#180</t>
  </si>
  <si>
    <t>18元</t>
  </si>
  <si>
    <t>B</t>
  </si>
  <si>
    <t>648充值</t>
  </si>
  <si>
    <t>AA.sss.648</t>
  </si>
  <si>
    <t>1#15000|2#12960</t>
  </si>
  <si>
    <t>7#6480</t>
  </si>
  <si>
    <t>648元</t>
  </si>
  <si>
    <t>轰隆隆通行证</t>
  </si>
  <si>
    <t>AA.sss.128</t>
  </si>
  <si>
    <t>1#15000|2#2500</t>
  </si>
  <si>
    <t>7#1280</t>
  </si>
  <si>
    <t>永久卡</t>
  </si>
  <si>
    <t>每日首充</t>
  </si>
  <si>
    <t>2#210|2001024#60|5#100|2000001#1|2000008#50|7#210</t>
  </si>
  <si>
    <t>每日特惠</t>
  </si>
  <si>
    <t>AA.sss.3</t>
  </si>
  <si>
    <t>2#30|2001024#10|5#100|7#30</t>
  </si>
  <si>
    <t>3元</t>
  </si>
  <si>
    <t>超值礼包</t>
  </si>
  <si>
    <t>2#60|2001024#20|2000001#1|7#60</t>
  </si>
  <si>
    <t>特惠豪礼</t>
  </si>
  <si>
    <t>AA.sss.12</t>
  </si>
  <si>
    <t>2#120|2001024#30|2000008#50|7#120</t>
  </si>
  <si>
    <t>12元</t>
  </si>
  <si>
    <t>珍宝阁-仙玉</t>
  </si>
  <si>
    <t>2#60</t>
  </si>
  <si>
    <t>AA.sss.30</t>
  </si>
  <si>
    <t>2#300</t>
  </si>
  <si>
    <t>7#300</t>
  </si>
  <si>
    <t>30元</t>
  </si>
  <si>
    <t>AA.sss.68</t>
  </si>
  <si>
    <t>2#680</t>
  </si>
  <si>
    <t>7#680</t>
  </si>
  <si>
    <t>68元</t>
  </si>
  <si>
    <t>2#1280</t>
  </si>
  <si>
    <t>128元</t>
  </si>
  <si>
    <t>AA.sss.328</t>
  </si>
  <si>
    <t>2#3280</t>
  </si>
  <si>
    <t>7#3280</t>
  </si>
  <si>
    <t>328元</t>
  </si>
  <si>
    <t>2#6480</t>
  </si>
  <si>
    <t>秘境-卷轴礼包</t>
  </si>
  <si>
    <t>2#60|1#100|2001003#10|7#60</t>
  </si>
  <si>
    <t>法宝-超值礼包</t>
  </si>
  <si>
    <t>2#60|1#100|2000008#50|7#60</t>
  </si>
  <si>
    <t>伙伴-招募礼包</t>
  </si>
  <si>
    <t>2#300|1#1500|5#1000|7#300</t>
  </si>
  <si>
    <t>伙伴-升星礼包</t>
  </si>
  <si>
    <t>2#300|1#300|2000008#20|7#300</t>
  </si>
  <si>
    <t>传说-伙伴礼包</t>
  </si>
  <si>
    <t>2#300|2001024#50|5#500|7#300</t>
  </si>
  <si>
    <t>法宝-尊享礼包</t>
  </si>
  <si>
    <t>2#680|1#1000|2000009#15|7#680</t>
  </si>
  <si>
    <t>伙伴-觉醒礼包</t>
  </si>
  <si>
    <t>2#1280|1#1500|2000009#25|7#1280</t>
  </si>
  <si>
    <t>神话-伙伴礼包</t>
  </si>
  <si>
    <t>AA.sss.198</t>
  </si>
  <si>
    <t>2#1980|1#3000|2001026#100|7#1980</t>
  </si>
  <si>
    <t>198元</t>
  </si>
  <si>
    <t>2#3280|1#5000|2000008#2000|7#3280</t>
  </si>
  <si>
    <t>祝融直升礼包I</t>
  </si>
  <si>
    <t>2#680|1040003#100|5#1000|7#680</t>
  </si>
  <si>
    <t>祝融直升礼包II</t>
  </si>
  <si>
    <t>2#980|1040003#150|5#2000|7#980</t>
  </si>
  <si>
    <t>祝融直升礼包IIII</t>
  </si>
  <si>
    <t>2#1980|1040003#300|5#3000|7#1980</t>
  </si>
  <si>
    <t>伏羲直升礼包I</t>
  </si>
  <si>
    <t>2#1980|1040004#100|5#2000|7#1980</t>
  </si>
  <si>
    <t>伏羲直升礼包II</t>
  </si>
  <si>
    <t>2#3280|1040004#150|5#3000|7#3280</t>
  </si>
  <si>
    <t>伏羲直升礼包IIII</t>
  </si>
  <si>
    <t>2#6480|1040004#300|5#5000|7#6480</t>
  </si>
  <si>
    <t>神话套装礼包</t>
  </si>
  <si>
    <t>2003012#3|2#6480|1#15000|7#6480</t>
  </si>
  <si>
    <t>珍宝阁-每周礼包</t>
  </si>
  <si>
    <t/>
  </si>
  <si>
    <t>炼狱特权商品</t>
  </si>
  <si>
    <t>珍宝阁-定制商品</t>
  </si>
  <si>
    <t>修仙令</t>
  </si>
  <si>
    <t>AA.sss.98</t>
  </si>
  <si>
    <t>98元</t>
  </si>
  <si>
    <t>普通塔1期</t>
  </si>
  <si>
    <t>普通塔2期</t>
  </si>
  <si>
    <t>普通塔3期</t>
  </si>
  <si>
    <t>普通塔4期</t>
  </si>
  <si>
    <t>普通塔5期</t>
  </si>
  <si>
    <t>人族塔1期</t>
  </si>
  <si>
    <t>人族塔2期</t>
  </si>
  <si>
    <t>人族塔3期</t>
  </si>
  <si>
    <t>人族塔4期</t>
  </si>
  <si>
    <t>人族塔5期</t>
  </si>
  <si>
    <t>灵族塔1期</t>
  </si>
  <si>
    <t>灵族塔2期</t>
  </si>
  <si>
    <t>灵族塔3期</t>
  </si>
  <si>
    <t>灵族塔4期</t>
  </si>
  <si>
    <t>灵族塔5期</t>
  </si>
  <si>
    <t>仙族塔1期</t>
  </si>
  <si>
    <t>仙族塔2期</t>
  </si>
  <si>
    <t>仙族塔3期</t>
  </si>
  <si>
    <t>仙族塔4期</t>
  </si>
  <si>
    <t>仙族塔5期</t>
  </si>
  <si>
    <t>迷雾1_1触发礼包</t>
  </si>
  <si>
    <t>2001003#15|2001004#5|1#800|7#300</t>
  </si>
  <si>
    <t>迷雾1_2触发礼包</t>
  </si>
  <si>
    <t>2001003#35|2001004#10|1#1000|7#680</t>
  </si>
  <si>
    <t>迷雾1_3触发礼包</t>
  </si>
  <si>
    <t>2001003#70|2001004#20|1#1600|7#1280</t>
  </si>
  <si>
    <t>迷雾1_4触发礼包</t>
  </si>
  <si>
    <t>2001003#120|2001004#35|1#2000|7#1980</t>
  </si>
  <si>
    <t>迷雾1_5触发礼包</t>
  </si>
  <si>
    <t>10级触发礼包</t>
  </si>
  <si>
    <t>1030020#100|5#500|7#60</t>
  </si>
  <si>
    <t>20级触发礼包</t>
  </si>
  <si>
    <t>1030018#50|1#2000|7#300</t>
  </si>
  <si>
    <t>30级触发礼包</t>
  </si>
  <si>
    <t>2000001#3|2001023#2|1#1200|7#980</t>
  </si>
  <si>
    <t>40级触发礼包</t>
  </si>
  <si>
    <t>2000001#4|2001022#3|1#1600|7#1280</t>
  </si>
  <si>
    <t>50级触发礼包</t>
  </si>
  <si>
    <t>2000001#4|2001022#3|1#1600|7#1980</t>
  </si>
  <si>
    <t>60级触发礼包</t>
  </si>
  <si>
    <t>2000001#6|2001022#5|1#2000|7#1980</t>
  </si>
  <si>
    <t>70级触发礼包</t>
  </si>
  <si>
    <t>橙色伙伴获得礼包</t>
  </si>
  <si>
    <t>2#300|7#300|5#500</t>
  </si>
  <si>
    <t>橙色伙伴20级触发礼包</t>
  </si>
  <si>
    <t>2#680|7#680|5#800</t>
  </si>
  <si>
    <t>橙色伙伴30级触发礼包</t>
  </si>
  <si>
    <t>2#680|7#680|2000008#100</t>
  </si>
  <si>
    <t>橙色伙伴40级触发礼包</t>
  </si>
  <si>
    <t>2#980|7#980|2000008#150</t>
  </si>
  <si>
    <t>橙色伙伴50级触发礼包</t>
  </si>
  <si>
    <t>2#1280|7#1280|2000008#200</t>
  </si>
  <si>
    <t>橙色伙伴60级触发礼包</t>
  </si>
  <si>
    <t>2#1980|7#1980|2000008#300</t>
  </si>
  <si>
    <t>橙色伙伴70级触发礼包</t>
  </si>
  <si>
    <t>2#3280|7#3280|2000008#500</t>
  </si>
  <si>
    <t>橙色伙伴80级触发礼包</t>
  </si>
  <si>
    <t>2#6480|7#6480|2000008#1000</t>
  </si>
  <si>
    <t>红色伙伴获得礼包</t>
  </si>
  <si>
    <t>红色伙伴20级触发礼包</t>
  </si>
  <si>
    <t>红色伙伴30级触发礼包</t>
  </si>
  <si>
    <t>红色伙伴40级触发礼包</t>
  </si>
  <si>
    <t>红色伙伴50级触发礼包</t>
  </si>
  <si>
    <t>红色伙伴60级触发礼包</t>
  </si>
  <si>
    <t>红色伙伴70级触发礼包</t>
  </si>
  <si>
    <t>红色伙伴80级触发礼包</t>
  </si>
  <si>
    <t>金币礼包</t>
  </si>
  <si>
    <t>1#1200|7#60</t>
  </si>
  <si>
    <t>爬塔礼包</t>
  </si>
  <si>
    <t>5#500|1#500|2#300|7#60</t>
  </si>
  <si>
    <t>阵亡礼包</t>
  </si>
  <si>
    <t>1#1200|2#120|7#60</t>
  </si>
  <si>
    <t>仙玉礼包</t>
  </si>
  <si>
    <t>2#200|7#60</t>
  </si>
  <si>
    <t>世界礼包</t>
  </si>
  <si>
    <t>秘境礼包</t>
  </si>
  <si>
    <t>通天礼包</t>
  </si>
  <si>
    <t>黄金礼包</t>
  </si>
  <si>
    <t>成长基金1期</t>
  </si>
  <si>
    <t>成长基金2期</t>
  </si>
  <si>
    <t>7#980</t>
  </si>
  <si>
    <t>首充6元</t>
  </si>
  <si>
    <t>首充68元</t>
  </si>
  <si>
    <t>普通月卡</t>
  </si>
  <si>
    <t>超值月卡</t>
  </si>
  <si>
    <t>终身卡</t>
  </si>
  <si>
    <t>7#1980</t>
  </si>
  <si>
    <t>免广告卡</t>
  </si>
  <si>
    <t>伙伴养成礼包</t>
  </si>
  <si>
    <t>嫦娥直升礼包I</t>
  </si>
  <si>
    <t>嫦娥直升礼包II</t>
  </si>
  <si>
    <t>乔峰直升礼包I</t>
  </si>
  <si>
    <t>乔峰直升礼包II</t>
  </si>
  <si>
    <t>乔峰直升礼包IIII</t>
  </si>
  <si>
    <t>王母直升礼包I</t>
  </si>
  <si>
    <t>王母直升礼包II</t>
  </si>
  <si>
    <t>王母直升礼包IIII</t>
  </si>
  <si>
    <t>助力礼包</t>
  </si>
  <si>
    <t>尊享礼包</t>
  </si>
  <si>
    <t>豪华礼包</t>
  </si>
  <si>
    <t>畅享礼包</t>
  </si>
  <si>
    <t>惊喜礼包</t>
  </si>
  <si>
    <t>至尊礼包</t>
  </si>
  <si>
    <t>开服活动-活跃战令</t>
  </si>
  <si>
    <t>开服活动-等级战令</t>
  </si>
  <si>
    <t>开服活动-登陆战令</t>
  </si>
  <si>
    <t>开服活动-爬塔战令</t>
  </si>
  <si>
    <t>开服活动-招募战令</t>
  </si>
  <si>
    <t>超值补给包</t>
  </si>
  <si>
    <t>2#30|1#100|5#100</t>
  </si>
  <si>
    <t>嫦娥养成包1</t>
  </si>
  <si>
    <t>1030020#15|1#250|5#250</t>
  </si>
  <si>
    <t>超值补给包2</t>
  </si>
  <si>
    <t>2#100|5#500|4#500|6#500</t>
  </si>
  <si>
    <t>嫦娥养成包2</t>
  </si>
  <si>
    <t>1030020#50|2001003#15|2000008#30|5#500</t>
  </si>
  <si>
    <t>传奇自选包1</t>
  </si>
  <si>
    <t>2001024#30|2001004#5|2000008#50|5#1000</t>
  </si>
  <si>
    <t>传奇自选包2</t>
  </si>
  <si>
    <t>2001024#50|2001004#10|2000008#100|2000009#5</t>
  </si>
  <si>
    <t>无双自选包</t>
  </si>
  <si>
    <t>2001026#25|5#1500|2000008#250|2000009#15</t>
  </si>
  <si>
    <t>2#150|1#300|6#250</t>
  </si>
  <si>
    <t>西王母养成包1</t>
  </si>
  <si>
    <t>1040012#5|2000008#30|2#120|5#500</t>
  </si>
  <si>
    <t>西王母养成包2</t>
  </si>
  <si>
    <t>1040012#5|2001003#15|2#120|4#500</t>
  </si>
  <si>
    <t>西王母养成包3</t>
  </si>
  <si>
    <t>1040012#10|2000008#50|2#300|6#1000</t>
  </si>
  <si>
    <t>西王母养成包4</t>
  </si>
  <si>
    <t>1040012#20|2001004#5|2#680|5#1500</t>
  </si>
  <si>
    <t>西王母养成包5</t>
  </si>
  <si>
    <t>1040012#50|2000008#500|2#1280|2000009#15</t>
  </si>
  <si>
    <t>西王母养成包6</t>
  </si>
  <si>
    <t>1040012#100|2000008#1000|2#3280|2000009#30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</si>
</sst>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76195562608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/>
    <xf numFmtId="0" fontId="1" fillId="2" borderId="1" xfId="49" applyFont="1" applyFill="1" applyBorder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148"/>
  <sheetViews>
    <sheetView tabSelected="1" workbookViewId="0">
      <pane ySplit="5" topLeftCell="A6" activePane="bottomLeft" state="frozen"/>
      <selection/>
      <selection pane="bottomLeft" activeCell="H16" sqref="H16"/>
    </sheetView>
  </sheetViews>
  <sheetFormatPr defaultColWidth="9" defaultRowHeight="14.25"/>
  <cols>
    <col min="1" max="1" width="25.875" customWidth="1"/>
    <col min="2" max="2" width="26.625" customWidth="1"/>
    <col min="3" max="3" width="13.25" customWidth="1"/>
    <col min="4" max="4" width="15.25" customWidth="1"/>
    <col min="5" max="5" width="11.25" customWidth="1"/>
    <col min="6" max="7" width="15.375" customWidth="1"/>
    <col min="8" max="8" width="17.875" customWidth="1"/>
    <col min="9" max="9" width="41" customWidth="1"/>
    <col min="10" max="10" width="17.875" customWidth="1"/>
    <col min="11" max="11" width="13.25" customWidth="1"/>
    <col min="12" max="12" width="9.25" customWidth="1"/>
  </cols>
  <sheetData>
    <row r="1" ht="16.5" spans="1:14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6.5" spans="1:14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</row>
    <row r="3" ht="16.5" spans="1:14">
      <c r="A3" s="1" t="s">
        <v>17</v>
      </c>
      <c r="B3" s="1" t="s">
        <v>18</v>
      </c>
      <c r="C3" s="1" t="s">
        <v>17</v>
      </c>
      <c r="D3" s="1" t="s">
        <v>19</v>
      </c>
      <c r="E3" s="1" t="s">
        <v>20</v>
      </c>
      <c r="F3" s="1" t="s">
        <v>17</v>
      </c>
      <c r="G3" s="1" t="s">
        <v>17</v>
      </c>
      <c r="H3" s="1" t="s">
        <v>19</v>
      </c>
      <c r="I3" s="1" t="s">
        <v>21</v>
      </c>
      <c r="J3" s="1" t="s">
        <v>21</v>
      </c>
      <c r="K3" s="1" t="s">
        <v>22</v>
      </c>
      <c r="L3" s="1" t="s">
        <v>18</v>
      </c>
      <c r="M3" s="1" t="s">
        <v>19</v>
      </c>
      <c r="N3" s="1" t="s">
        <v>17</v>
      </c>
    </row>
    <row r="4" ht="16.5" spans="1:14">
      <c r="A4" s="1" t="s">
        <v>23</v>
      </c>
      <c r="B4" s="1" t="s">
        <v>23</v>
      </c>
      <c r="C4" s="1" t="s">
        <v>23</v>
      </c>
      <c r="D4" s="1" t="s">
        <v>23</v>
      </c>
      <c r="E4" s="1" t="s">
        <v>23</v>
      </c>
      <c r="F4" s="1" t="s">
        <v>24</v>
      </c>
      <c r="G4" s="1" t="s">
        <v>24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24</v>
      </c>
      <c r="M4" s="1" t="s">
        <v>25</v>
      </c>
      <c r="N4" s="1" t="s">
        <v>26</v>
      </c>
    </row>
    <row r="5" ht="16.5" spans="1:14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40</v>
      </c>
    </row>
    <row r="6" ht="16.5" spans="1:14">
      <c r="A6" s="2">
        <v>1001</v>
      </c>
      <c r="B6" s="2" t="s">
        <v>41</v>
      </c>
      <c r="C6" s="2">
        <v>1</v>
      </c>
      <c r="D6" s="2"/>
      <c r="E6" s="2">
        <v>600</v>
      </c>
      <c r="F6" s="2">
        <v>600</v>
      </c>
      <c r="G6">
        <v>600</v>
      </c>
      <c r="H6" s="2" t="s">
        <v>42</v>
      </c>
      <c r="I6" s="2" t="s">
        <v>43</v>
      </c>
      <c r="J6" s="2" t="s">
        <v>44</v>
      </c>
      <c r="K6" s="2" t="s">
        <v>45</v>
      </c>
      <c r="L6" s="2" t="s">
        <v>46</v>
      </c>
      <c r="M6" s="2" t="s">
        <v>47</v>
      </c>
      <c r="N6" s="2">
        <v>0</v>
      </c>
    </row>
    <row r="7" ht="16.5" spans="1:14">
      <c r="A7" s="2">
        <v>1002</v>
      </c>
      <c r="B7" s="2" t="s">
        <v>48</v>
      </c>
      <c r="C7" s="2">
        <v>1</v>
      </c>
      <c r="D7" s="2"/>
      <c r="E7" s="2">
        <v>1800</v>
      </c>
      <c r="F7" s="2">
        <v>1800</v>
      </c>
      <c r="G7">
        <v>1800</v>
      </c>
      <c r="H7" s="2" t="s">
        <v>49</v>
      </c>
      <c r="I7" s="2" t="s">
        <v>50</v>
      </c>
      <c r="J7" s="2" t="s">
        <v>44</v>
      </c>
      <c r="K7" s="2" t="s">
        <v>51</v>
      </c>
      <c r="L7" s="2" t="s">
        <v>52</v>
      </c>
      <c r="M7" s="2" t="s">
        <v>53</v>
      </c>
      <c r="N7">
        <v>0</v>
      </c>
    </row>
    <row r="8" ht="16.5" spans="1:14">
      <c r="A8" s="2">
        <v>1003</v>
      </c>
      <c r="B8" s="2" t="s">
        <v>54</v>
      </c>
      <c r="C8" s="2">
        <v>1</v>
      </c>
      <c r="D8" s="2"/>
      <c r="E8" s="2">
        <v>64800</v>
      </c>
      <c r="F8" s="2">
        <v>64800</v>
      </c>
      <c r="G8">
        <v>64800</v>
      </c>
      <c r="H8" s="2" t="s">
        <v>55</v>
      </c>
      <c r="I8" s="2" t="s">
        <v>56</v>
      </c>
      <c r="J8" s="2" t="s">
        <v>44</v>
      </c>
      <c r="K8" s="2" t="s">
        <v>57</v>
      </c>
      <c r="L8" s="2" t="s">
        <v>58</v>
      </c>
      <c r="M8" s="2" t="s">
        <v>26</v>
      </c>
      <c r="N8" s="2">
        <v>0</v>
      </c>
    </row>
    <row r="9" ht="16.5" spans="1:14">
      <c r="A9" s="2">
        <v>2001</v>
      </c>
      <c r="B9" s="2" t="s">
        <v>59</v>
      </c>
      <c r="C9">
        <v>2</v>
      </c>
      <c r="D9">
        <v>1001001</v>
      </c>
      <c r="E9" s="2">
        <v>12800</v>
      </c>
      <c r="F9" s="2">
        <v>12800</v>
      </c>
      <c r="G9">
        <v>12800</v>
      </c>
      <c r="H9" s="2" t="s">
        <v>60</v>
      </c>
      <c r="I9" s="2" t="s">
        <v>61</v>
      </c>
      <c r="K9" s="2" t="s">
        <v>62</v>
      </c>
      <c r="L9" s="2" t="s">
        <v>58</v>
      </c>
      <c r="M9" s="2" t="s">
        <v>47</v>
      </c>
      <c r="N9">
        <v>0</v>
      </c>
    </row>
    <row r="10" ht="16.5" spans="1:14">
      <c r="A10" s="2">
        <v>3001</v>
      </c>
      <c r="B10" s="2" t="s">
        <v>63</v>
      </c>
      <c r="C10">
        <v>3</v>
      </c>
      <c r="E10" s="2">
        <v>12800</v>
      </c>
      <c r="F10" s="2">
        <v>12800</v>
      </c>
      <c r="G10">
        <v>12800</v>
      </c>
      <c r="H10" s="2" t="s">
        <v>60</v>
      </c>
      <c r="I10" s="2" t="s">
        <v>61</v>
      </c>
      <c r="K10" s="2" t="s">
        <v>62</v>
      </c>
      <c r="L10" s="2" t="s">
        <v>58</v>
      </c>
      <c r="M10" s="2" t="s">
        <v>53</v>
      </c>
      <c r="N10" s="2">
        <v>0</v>
      </c>
    </row>
    <row r="11" ht="16.5" spans="1:14">
      <c r="A11" s="2">
        <v>4001</v>
      </c>
      <c r="B11" s="2" t="s">
        <v>64</v>
      </c>
      <c r="C11">
        <v>4</v>
      </c>
      <c r="D11">
        <v>1</v>
      </c>
      <c r="E11" s="2">
        <v>1800</v>
      </c>
      <c r="F11" s="2">
        <v>1800</v>
      </c>
      <c r="G11" s="2">
        <v>1800</v>
      </c>
      <c r="H11" s="2" t="s">
        <v>49</v>
      </c>
      <c r="I11" s="2" t="s">
        <v>65</v>
      </c>
      <c r="K11" s="2"/>
      <c r="L11" s="2" t="s">
        <v>52</v>
      </c>
      <c r="M11" s="2" t="s">
        <v>26</v>
      </c>
      <c r="N11">
        <v>0</v>
      </c>
    </row>
    <row r="12" ht="16.5" spans="1:14">
      <c r="A12" s="2">
        <v>4002</v>
      </c>
      <c r="B12" s="2" t="s">
        <v>66</v>
      </c>
      <c r="C12">
        <v>4</v>
      </c>
      <c r="D12">
        <v>0</v>
      </c>
      <c r="E12" s="2">
        <v>300</v>
      </c>
      <c r="F12" s="2">
        <v>300</v>
      </c>
      <c r="G12" s="2">
        <v>300</v>
      </c>
      <c r="H12" s="2" t="s">
        <v>67</v>
      </c>
      <c r="I12" s="2" t="s">
        <v>68</v>
      </c>
      <c r="K12" s="2"/>
      <c r="L12" s="2" t="s">
        <v>69</v>
      </c>
      <c r="M12" s="2" t="s">
        <v>47</v>
      </c>
      <c r="N12" s="2">
        <v>1400</v>
      </c>
    </row>
    <row r="13" ht="16.5" spans="1:14">
      <c r="A13" s="2">
        <v>4003</v>
      </c>
      <c r="B13" s="2" t="s">
        <v>70</v>
      </c>
      <c r="C13">
        <v>4</v>
      </c>
      <c r="D13">
        <v>0</v>
      </c>
      <c r="E13" s="2">
        <v>600</v>
      </c>
      <c r="F13" s="2">
        <v>600</v>
      </c>
      <c r="G13" s="2">
        <v>600</v>
      </c>
      <c r="H13" s="2" t="s">
        <v>42</v>
      </c>
      <c r="I13" s="2" t="s">
        <v>71</v>
      </c>
      <c r="K13" s="2"/>
      <c r="L13" s="2" t="s">
        <v>46</v>
      </c>
      <c r="M13" s="2" t="s">
        <v>53</v>
      </c>
      <c r="N13">
        <v>1300</v>
      </c>
    </row>
    <row r="14" ht="16.5" spans="1:14">
      <c r="A14" s="2">
        <v>4004</v>
      </c>
      <c r="B14" s="2" t="s">
        <v>72</v>
      </c>
      <c r="C14">
        <v>4</v>
      </c>
      <c r="D14">
        <v>0</v>
      </c>
      <c r="E14" s="2">
        <v>1200</v>
      </c>
      <c r="F14" s="2">
        <v>1200</v>
      </c>
      <c r="G14" s="2">
        <v>1200</v>
      </c>
      <c r="H14" s="2" t="s">
        <v>73</v>
      </c>
      <c r="I14" s="2" t="s">
        <v>74</v>
      </c>
      <c r="K14" s="2"/>
      <c r="L14" s="2" t="s">
        <v>75</v>
      </c>
      <c r="M14" s="2" t="s">
        <v>26</v>
      </c>
      <c r="N14" s="2">
        <v>1200</v>
      </c>
    </row>
    <row r="15" ht="16.5" spans="1:14">
      <c r="A15" s="2">
        <v>5501</v>
      </c>
      <c r="B15" s="2" t="s">
        <v>76</v>
      </c>
      <c r="C15">
        <v>5</v>
      </c>
      <c r="E15">
        <v>600</v>
      </c>
      <c r="F15">
        <v>600</v>
      </c>
      <c r="G15">
        <v>600</v>
      </c>
      <c r="H15" s="2" t="s">
        <v>42</v>
      </c>
      <c r="I15" s="2" t="s">
        <v>77</v>
      </c>
      <c r="J15" s="2" t="s">
        <v>77</v>
      </c>
      <c r="K15" s="2" t="s">
        <v>45</v>
      </c>
      <c r="L15" s="2" t="s">
        <v>46</v>
      </c>
      <c r="M15" s="2" t="s">
        <v>47</v>
      </c>
      <c r="N15" s="2">
        <v>0</v>
      </c>
    </row>
    <row r="16" ht="16.5" spans="1:14">
      <c r="A16" s="2">
        <v>5502</v>
      </c>
      <c r="B16" s="2" t="s">
        <v>76</v>
      </c>
      <c r="C16">
        <v>5</v>
      </c>
      <c r="E16">
        <v>3000</v>
      </c>
      <c r="F16" s="2">
        <v>3000</v>
      </c>
      <c r="G16">
        <v>3000</v>
      </c>
      <c r="H16" s="2" t="s">
        <v>78</v>
      </c>
      <c r="I16" s="2" t="s">
        <v>79</v>
      </c>
      <c r="J16" s="2" t="s">
        <v>79</v>
      </c>
      <c r="K16" s="2" t="s">
        <v>80</v>
      </c>
      <c r="L16" s="2" t="s">
        <v>81</v>
      </c>
      <c r="M16" s="2" t="s">
        <v>53</v>
      </c>
      <c r="N16" s="2">
        <v>0</v>
      </c>
    </row>
    <row r="17" ht="16.5" spans="1:14">
      <c r="A17" s="2">
        <v>5503</v>
      </c>
      <c r="B17" s="2" t="s">
        <v>76</v>
      </c>
      <c r="C17">
        <v>5</v>
      </c>
      <c r="E17" s="3">
        <v>6800</v>
      </c>
      <c r="F17" s="2">
        <v>6800</v>
      </c>
      <c r="G17" s="3">
        <v>6800</v>
      </c>
      <c r="H17" s="2" t="s">
        <v>82</v>
      </c>
      <c r="I17" s="2" t="s">
        <v>83</v>
      </c>
      <c r="J17" s="2" t="s">
        <v>83</v>
      </c>
      <c r="K17" s="2" t="s">
        <v>84</v>
      </c>
      <c r="L17" s="2" t="s">
        <v>85</v>
      </c>
      <c r="M17" s="2" t="s">
        <v>26</v>
      </c>
      <c r="N17">
        <v>0</v>
      </c>
    </row>
    <row r="18" ht="16.5" spans="1:14">
      <c r="A18" s="2">
        <v>5504</v>
      </c>
      <c r="B18" s="2" t="s">
        <v>76</v>
      </c>
      <c r="C18">
        <v>5</v>
      </c>
      <c r="E18">
        <v>12800</v>
      </c>
      <c r="F18" s="2">
        <v>12800</v>
      </c>
      <c r="G18">
        <v>12800</v>
      </c>
      <c r="H18" s="2" t="s">
        <v>60</v>
      </c>
      <c r="I18" s="2" t="s">
        <v>86</v>
      </c>
      <c r="J18" s="2" t="s">
        <v>86</v>
      </c>
      <c r="K18" s="2" t="s">
        <v>62</v>
      </c>
      <c r="L18" s="2" t="s">
        <v>87</v>
      </c>
      <c r="M18" s="2" t="s">
        <v>47</v>
      </c>
      <c r="N18" s="2">
        <v>0</v>
      </c>
    </row>
    <row r="19" ht="16.5" spans="1:14">
      <c r="A19" s="2">
        <v>5505</v>
      </c>
      <c r="B19" s="2" t="s">
        <v>76</v>
      </c>
      <c r="C19">
        <v>5</v>
      </c>
      <c r="E19" s="3">
        <v>32800</v>
      </c>
      <c r="F19" s="2">
        <v>32800</v>
      </c>
      <c r="G19" s="3">
        <v>32800</v>
      </c>
      <c r="H19" s="2" t="s">
        <v>88</v>
      </c>
      <c r="I19" s="2" t="s">
        <v>89</v>
      </c>
      <c r="J19" s="2" t="s">
        <v>89</v>
      </c>
      <c r="K19" s="2" t="s">
        <v>90</v>
      </c>
      <c r="L19" s="2" t="s">
        <v>91</v>
      </c>
      <c r="M19" s="2" t="s">
        <v>53</v>
      </c>
      <c r="N19">
        <v>0</v>
      </c>
    </row>
    <row r="20" ht="16.5" spans="1:14">
      <c r="A20" s="2">
        <v>5506</v>
      </c>
      <c r="B20" s="2" t="s">
        <v>76</v>
      </c>
      <c r="C20">
        <v>5</v>
      </c>
      <c r="E20">
        <v>64800</v>
      </c>
      <c r="F20" s="2">
        <v>64800</v>
      </c>
      <c r="G20">
        <v>64800</v>
      </c>
      <c r="H20" s="2" t="s">
        <v>55</v>
      </c>
      <c r="I20" s="2" t="s">
        <v>92</v>
      </c>
      <c r="J20" s="2" t="s">
        <v>92</v>
      </c>
      <c r="K20" s="2" t="s">
        <v>57</v>
      </c>
      <c r="L20" s="2" t="s">
        <v>58</v>
      </c>
      <c r="M20" s="2" t="s">
        <v>26</v>
      </c>
      <c r="N20" s="2">
        <v>0</v>
      </c>
    </row>
    <row r="21" ht="16.5" spans="1:14">
      <c r="A21" s="2">
        <v>5601</v>
      </c>
      <c r="B21" s="2" t="s">
        <v>93</v>
      </c>
      <c r="C21">
        <v>5</v>
      </c>
      <c r="E21" s="2">
        <v>600</v>
      </c>
      <c r="F21" s="2">
        <v>600</v>
      </c>
      <c r="G21">
        <v>600</v>
      </c>
      <c r="H21" s="2" t="s">
        <v>42</v>
      </c>
      <c r="I21" s="4" t="s">
        <v>94</v>
      </c>
      <c r="K21" s="2"/>
      <c r="L21" s="2" t="s">
        <v>46</v>
      </c>
      <c r="M21" s="2"/>
      <c r="N21" s="2">
        <v>0</v>
      </c>
    </row>
    <row r="22" ht="16.5" spans="1:14">
      <c r="A22" s="2">
        <v>5602</v>
      </c>
      <c r="B22" s="2" t="s">
        <v>95</v>
      </c>
      <c r="C22">
        <v>5</v>
      </c>
      <c r="E22" s="2">
        <v>600</v>
      </c>
      <c r="F22" s="2">
        <v>600</v>
      </c>
      <c r="G22">
        <v>600</v>
      </c>
      <c r="H22" s="2" t="s">
        <v>42</v>
      </c>
      <c r="I22" s="4" t="s">
        <v>96</v>
      </c>
      <c r="J22" s="2"/>
      <c r="K22" s="2"/>
      <c r="L22" s="2" t="s">
        <v>46</v>
      </c>
      <c r="M22" s="2"/>
      <c r="N22" s="2">
        <v>0</v>
      </c>
    </row>
    <row r="23" ht="16.5" spans="1:14">
      <c r="A23" s="2">
        <v>5603</v>
      </c>
      <c r="B23" s="2" t="s">
        <v>97</v>
      </c>
      <c r="C23">
        <v>5</v>
      </c>
      <c r="E23">
        <v>3000</v>
      </c>
      <c r="F23" s="2">
        <v>3000</v>
      </c>
      <c r="G23" s="2">
        <v>3000</v>
      </c>
      <c r="H23" s="2" t="s">
        <v>78</v>
      </c>
      <c r="I23" s="2" t="s">
        <v>98</v>
      </c>
      <c r="J23" s="2"/>
      <c r="K23" s="2"/>
      <c r="L23" s="2" t="s">
        <v>81</v>
      </c>
      <c r="M23" s="2"/>
      <c r="N23" s="2">
        <v>0</v>
      </c>
    </row>
    <row r="24" ht="16.5" spans="1:14">
      <c r="A24" s="2">
        <v>5604</v>
      </c>
      <c r="B24" s="2" t="s">
        <v>99</v>
      </c>
      <c r="C24">
        <v>5</v>
      </c>
      <c r="E24">
        <v>3000</v>
      </c>
      <c r="F24" s="2">
        <v>3000</v>
      </c>
      <c r="G24" s="2">
        <v>3000</v>
      </c>
      <c r="H24" s="2" t="s">
        <v>78</v>
      </c>
      <c r="I24" s="2" t="s">
        <v>100</v>
      </c>
      <c r="J24" s="2"/>
      <c r="K24" s="2"/>
      <c r="L24" s="2" t="s">
        <v>81</v>
      </c>
      <c r="M24" s="2"/>
      <c r="N24" s="2">
        <v>0</v>
      </c>
    </row>
    <row r="25" ht="16.5" spans="1:14">
      <c r="A25" s="2">
        <v>5605</v>
      </c>
      <c r="B25" s="2" t="s">
        <v>101</v>
      </c>
      <c r="C25">
        <v>5</v>
      </c>
      <c r="E25">
        <v>3000</v>
      </c>
      <c r="F25" s="2">
        <v>3000</v>
      </c>
      <c r="G25" s="2">
        <v>3000</v>
      </c>
      <c r="H25" s="2" t="s">
        <v>78</v>
      </c>
      <c r="I25" s="2" t="s">
        <v>102</v>
      </c>
      <c r="L25" s="2" t="s">
        <v>81</v>
      </c>
      <c r="N25" s="2">
        <v>0</v>
      </c>
    </row>
    <row r="26" ht="16.5" spans="1:14">
      <c r="A26" s="2">
        <v>5606</v>
      </c>
      <c r="B26" s="2" t="s">
        <v>103</v>
      </c>
      <c r="C26">
        <v>5</v>
      </c>
      <c r="E26" s="2">
        <v>6800</v>
      </c>
      <c r="F26" s="2">
        <v>6800</v>
      </c>
      <c r="G26">
        <v>6800</v>
      </c>
      <c r="H26" s="2" t="s">
        <v>82</v>
      </c>
      <c r="I26" s="4" t="s">
        <v>104</v>
      </c>
      <c r="J26" s="2"/>
      <c r="K26" s="2"/>
      <c r="L26" s="2" t="s">
        <v>85</v>
      </c>
      <c r="M26" s="2"/>
      <c r="N26" s="2">
        <v>0</v>
      </c>
    </row>
    <row r="27" ht="16.5" spans="1:14">
      <c r="A27" s="2">
        <v>5608</v>
      </c>
      <c r="B27" s="2" t="s">
        <v>105</v>
      </c>
      <c r="C27">
        <v>5</v>
      </c>
      <c r="E27" s="2">
        <v>12800</v>
      </c>
      <c r="F27" s="2">
        <v>12800</v>
      </c>
      <c r="G27">
        <v>12800</v>
      </c>
      <c r="H27" s="2" t="s">
        <v>60</v>
      </c>
      <c r="I27" s="2" t="s">
        <v>106</v>
      </c>
      <c r="J27" s="2"/>
      <c r="K27" s="2"/>
      <c r="L27" s="2" t="s">
        <v>87</v>
      </c>
      <c r="M27" s="2"/>
      <c r="N27" s="2">
        <v>0</v>
      </c>
    </row>
    <row r="28" ht="16.5" spans="1:14">
      <c r="A28" s="2">
        <v>5610</v>
      </c>
      <c r="B28" s="2" t="s">
        <v>107</v>
      </c>
      <c r="C28">
        <v>5</v>
      </c>
      <c r="E28" s="2">
        <v>19800</v>
      </c>
      <c r="F28" s="2">
        <v>19800</v>
      </c>
      <c r="G28" s="3">
        <v>19800</v>
      </c>
      <c r="H28" s="2" t="s">
        <v>108</v>
      </c>
      <c r="I28" s="2" t="s">
        <v>109</v>
      </c>
      <c r="J28" s="2"/>
      <c r="K28" s="2"/>
      <c r="L28" s="2" t="s">
        <v>110</v>
      </c>
      <c r="M28" s="2"/>
      <c r="N28" s="2">
        <v>0</v>
      </c>
    </row>
    <row r="29" ht="16.5" spans="1:14">
      <c r="A29" s="2">
        <v>5611</v>
      </c>
      <c r="B29" s="2" t="s">
        <v>99</v>
      </c>
      <c r="C29">
        <v>5</v>
      </c>
      <c r="E29" s="2">
        <v>32800</v>
      </c>
      <c r="F29" s="2">
        <v>32800</v>
      </c>
      <c r="G29" s="3">
        <v>32800</v>
      </c>
      <c r="H29" s="2" t="s">
        <v>88</v>
      </c>
      <c r="I29" s="2" t="s">
        <v>111</v>
      </c>
      <c r="J29" s="2"/>
      <c r="K29" s="2"/>
      <c r="L29" s="2" t="s">
        <v>91</v>
      </c>
      <c r="M29" s="2"/>
      <c r="N29" s="2">
        <v>0</v>
      </c>
    </row>
    <row r="30" ht="16.5" spans="1:14">
      <c r="A30" s="2">
        <v>5612</v>
      </c>
      <c r="B30" s="2" t="s">
        <v>112</v>
      </c>
      <c r="C30">
        <v>5</v>
      </c>
      <c r="E30" s="2">
        <v>6800</v>
      </c>
      <c r="F30" s="2">
        <v>6800</v>
      </c>
      <c r="G30" s="2">
        <v>6800</v>
      </c>
      <c r="H30" s="2" t="s">
        <v>82</v>
      </c>
      <c r="I30" s="2" t="s">
        <v>113</v>
      </c>
      <c r="L30" s="2" t="s">
        <v>85</v>
      </c>
      <c r="M30" s="2"/>
      <c r="N30" s="2">
        <v>0</v>
      </c>
    </row>
    <row r="31" ht="16.5" spans="1:14">
      <c r="A31" s="2">
        <v>5613</v>
      </c>
      <c r="B31" s="2" t="s">
        <v>114</v>
      </c>
      <c r="C31">
        <v>5</v>
      </c>
      <c r="E31" s="2">
        <v>12800</v>
      </c>
      <c r="F31" s="2">
        <v>12800</v>
      </c>
      <c r="G31" s="2">
        <v>12800</v>
      </c>
      <c r="H31" s="2" t="s">
        <v>60</v>
      </c>
      <c r="I31" s="2" t="s">
        <v>115</v>
      </c>
      <c r="L31" s="2" t="s">
        <v>87</v>
      </c>
      <c r="M31" s="2"/>
      <c r="N31">
        <v>0</v>
      </c>
    </row>
    <row r="32" ht="16.5" spans="1:14">
      <c r="A32" s="2">
        <v>5614</v>
      </c>
      <c r="B32" s="2" t="s">
        <v>116</v>
      </c>
      <c r="C32">
        <v>5</v>
      </c>
      <c r="E32" s="2">
        <v>19800</v>
      </c>
      <c r="F32" s="2">
        <v>19800</v>
      </c>
      <c r="G32" s="2">
        <v>19800</v>
      </c>
      <c r="H32" s="2" t="s">
        <v>108</v>
      </c>
      <c r="I32" s="2" t="s">
        <v>117</v>
      </c>
      <c r="L32" s="2" t="s">
        <v>110</v>
      </c>
      <c r="M32" s="2"/>
      <c r="N32">
        <v>0</v>
      </c>
    </row>
    <row r="33" ht="16.5" spans="1:14">
      <c r="A33" s="2">
        <v>5615</v>
      </c>
      <c r="B33" s="2" t="s">
        <v>118</v>
      </c>
      <c r="C33">
        <v>5</v>
      </c>
      <c r="E33" s="2">
        <v>19800</v>
      </c>
      <c r="F33" s="2">
        <v>19800</v>
      </c>
      <c r="G33" s="2">
        <v>19800</v>
      </c>
      <c r="H33" s="2" t="s">
        <v>108</v>
      </c>
      <c r="I33" s="2" t="s">
        <v>119</v>
      </c>
      <c r="L33" s="2" t="s">
        <v>110</v>
      </c>
      <c r="M33" s="2"/>
      <c r="N33">
        <v>0</v>
      </c>
    </row>
    <row r="34" ht="16.5" spans="1:14">
      <c r="A34" s="2">
        <v>5616</v>
      </c>
      <c r="B34" s="2" t="s">
        <v>120</v>
      </c>
      <c r="C34">
        <v>5</v>
      </c>
      <c r="E34" s="2">
        <v>32800</v>
      </c>
      <c r="F34" s="2">
        <v>32800</v>
      </c>
      <c r="G34" s="2">
        <v>32800</v>
      </c>
      <c r="H34" s="2" t="s">
        <v>88</v>
      </c>
      <c r="I34" s="2" t="s">
        <v>121</v>
      </c>
      <c r="L34" s="2" t="s">
        <v>91</v>
      </c>
      <c r="M34" s="2"/>
      <c r="N34">
        <v>0</v>
      </c>
    </row>
    <row r="35" ht="16.5" spans="1:14">
      <c r="A35" s="2">
        <v>5617</v>
      </c>
      <c r="B35" s="2" t="s">
        <v>122</v>
      </c>
      <c r="C35">
        <v>5</v>
      </c>
      <c r="E35" s="2">
        <v>64800</v>
      </c>
      <c r="F35" s="2">
        <v>64800</v>
      </c>
      <c r="G35" s="2">
        <v>64800</v>
      </c>
      <c r="H35" s="2" t="s">
        <v>55</v>
      </c>
      <c r="I35" s="2" t="s">
        <v>123</v>
      </c>
      <c r="L35" s="2" t="s">
        <v>58</v>
      </c>
      <c r="M35" s="2"/>
      <c r="N35">
        <v>0</v>
      </c>
    </row>
    <row r="36" ht="16.5" spans="1:14">
      <c r="A36" s="2">
        <v>5618</v>
      </c>
      <c r="B36" s="2" t="s">
        <v>124</v>
      </c>
      <c r="C36">
        <v>5</v>
      </c>
      <c r="E36" s="2">
        <v>64800</v>
      </c>
      <c r="F36" s="2">
        <v>64800</v>
      </c>
      <c r="G36">
        <v>64800</v>
      </c>
      <c r="H36" s="2" t="s">
        <v>55</v>
      </c>
      <c r="I36" s="4" t="s">
        <v>125</v>
      </c>
      <c r="K36" s="2"/>
      <c r="L36" s="2" t="s">
        <v>58</v>
      </c>
      <c r="M36" s="2"/>
      <c r="N36">
        <v>0</v>
      </c>
    </row>
    <row r="37" ht="16.5" spans="1:14">
      <c r="A37" s="2">
        <v>5701</v>
      </c>
      <c r="B37" s="2" t="s">
        <v>126</v>
      </c>
      <c r="C37">
        <v>5</v>
      </c>
      <c r="E37" s="2">
        <v>12800</v>
      </c>
      <c r="F37" s="2">
        <v>12800</v>
      </c>
      <c r="G37" s="3">
        <v>12800</v>
      </c>
      <c r="H37" s="2" t="s">
        <v>60</v>
      </c>
      <c r="I37" s="2" t="s">
        <v>127</v>
      </c>
      <c r="L37" s="2" t="s">
        <v>87</v>
      </c>
      <c r="M37" s="2" t="s">
        <v>26</v>
      </c>
      <c r="N37" s="2">
        <v>0</v>
      </c>
    </row>
    <row r="38" ht="16.5" spans="1:14">
      <c r="A38" s="2">
        <v>5702</v>
      </c>
      <c r="B38" t="s">
        <v>128</v>
      </c>
      <c r="C38">
        <v>5</v>
      </c>
      <c r="D38">
        <v>10001</v>
      </c>
      <c r="E38" s="2">
        <v>32800</v>
      </c>
      <c r="F38" s="2">
        <v>32800</v>
      </c>
      <c r="G38" s="3">
        <v>32800</v>
      </c>
      <c r="H38" s="2" t="s">
        <v>88</v>
      </c>
      <c r="I38" s="2" t="s">
        <v>127</v>
      </c>
      <c r="L38" s="2" t="s">
        <v>91</v>
      </c>
      <c r="M38" s="2" t="s">
        <v>47</v>
      </c>
      <c r="N38">
        <v>0</v>
      </c>
    </row>
    <row r="39" ht="16.5" spans="1:14">
      <c r="A39" s="2">
        <v>5703</v>
      </c>
      <c r="B39" s="2" t="s">
        <v>126</v>
      </c>
      <c r="C39">
        <v>5</v>
      </c>
      <c r="E39" s="2">
        <v>12800</v>
      </c>
      <c r="F39" s="2">
        <v>12800</v>
      </c>
      <c r="G39" s="3">
        <v>12800</v>
      </c>
      <c r="H39" s="2" t="s">
        <v>60</v>
      </c>
      <c r="I39" s="2" t="s">
        <v>127</v>
      </c>
      <c r="L39" s="2" t="s">
        <v>87</v>
      </c>
      <c r="M39" s="2" t="s">
        <v>53</v>
      </c>
      <c r="N39" s="2">
        <v>0</v>
      </c>
    </row>
    <row r="40" ht="16.5" spans="1:14">
      <c r="A40" s="2">
        <v>5704</v>
      </c>
      <c r="B40" s="2" t="s">
        <v>126</v>
      </c>
      <c r="C40">
        <v>5</v>
      </c>
      <c r="E40" s="2">
        <v>12800</v>
      </c>
      <c r="F40" s="2">
        <v>12800</v>
      </c>
      <c r="G40" s="3">
        <v>12800</v>
      </c>
      <c r="H40" s="2" t="s">
        <v>60</v>
      </c>
      <c r="I40" s="2" t="s">
        <v>127</v>
      </c>
      <c r="L40" s="2" t="s">
        <v>87</v>
      </c>
      <c r="M40" s="2" t="s">
        <v>26</v>
      </c>
      <c r="N40">
        <v>0</v>
      </c>
    </row>
    <row r="41" ht="16.5" spans="1:14">
      <c r="A41" s="2">
        <v>5801</v>
      </c>
      <c r="B41" s="2" t="s">
        <v>129</v>
      </c>
      <c r="C41">
        <v>5</v>
      </c>
      <c r="E41" s="2">
        <v>19800</v>
      </c>
      <c r="F41" s="2">
        <v>19800</v>
      </c>
      <c r="G41" s="3">
        <v>19800</v>
      </c>
      <c r="H41" s="2" t="s">
        <v>108</v>
      </c>
      <c r="I41" s="2" t="s">
        <v>127</v>
      </c>
      <c r="L41" s="2" t="s">
        <v>110</v>
      </c>
      <c r="M41" s="2" t="s">
        <v>47</v>
      </c>
      <c r="N41" s="2">
        <v>0</v>
      </c>
    </row>
    <row r="42" ht="16.5" spans="1:14">
      <c r="A42" s="2">
        <v>5802</v>
      </c>
      <c r="B42" s="2" t="s">
        <v>129</v>
      </c>
      <c r="C42">
        <v>5</v>
      </c>
      <c r="E42" s="2">
        <v>19800</v>
      </c>
      <c r="F42" s="2">
        <v>19800</v>
      </c>
      <c r="G42" s="3">
        <v>19800</v>
      </c>
      <c r="H42" s="2" t="s">
        <v>108</v>
      </c>
      <c r="I42" s="2" t="s">
        <v>127</v>
      </c>
      <c r="L42" s="2" t="s">
        <v>110</v>
      </c>
      <c r="M42" s="2" t="s">
        <v>53</v>
      </c>
      <c r="N42">
        <v>0</v>
      </c>
    </row>
    <row r="43" ht="16.5" spans="1:14">
      <c r="A43" s="2">
        <v>5803</v>
      </c>
      <c r="B43" s="2" t="s">
        <v>129</v>
      </c>
      <c r="C43">
        <v>5</v>
      </c>
      <c r="E43" s="2">
        <v>19800</v>
      </c>
      <c r="F43" s="2">
        <v>19800</v>
      </c>
      <c r="G43" s="3">
        <v>19800</v>
      </c>
      <c r="H43" s="2" t="s">
        <v>108</v>
      </c>
      <c r="I43" s="2" t="s">
        <v>127</v>
      </c>
      <c r="L43" s="2" t="s">
        <v>110</v>
      </c>
      <c r="M43" s="2" t="s">
        <v>26</v>
      </c>
      <c r="N43" s="2">
        <v>0</v>
      </c>
    </row>
    <row r="44" ht="16.5" spans="1:14">
      <c r="A44" s="2">
        <v>6001</v>
      </c>
      <c r="B44" t="s">
        <v>130</v>
      </c>
      <c r="C44">
        <v>6</v>
      </c>
      <c r="D44">
        <v>1003001</v>
      </c>
      <c r="E44" s="2">
        <v>9800</v>
      </c>
      <c r="F44" s="2">
        <v>9800</v>
      </c>
      <c r="G44" s="3">
        <v>9800</v>
      </c>
      <c r="H44" s="2" t="s">
        <v>131</v>
      </c>
      <c r="I44" t="s">
        <v>127</v>
      </c>
      <c r="L44" s="2" t="s">
        <v>132</v>
      </c>
      <c r="M44" s="2" t="s">
        <v>47</v>
      </c>
      <c r="N44">
        <v>0</v>
      </c>
    </row>
    <row r="45" ht="16.5" spans="1:14">
      <c r="A45" s="2">
        <v>6002</v>
      </c>
      <c r="B45" t="s">
        <v>130</v>
      </c>
      <c r="C45">
        <v>6</v>
      </c>
      <c r="D45">
        <v>1003002</v>
      </c>
      <c r="E45" s="2">
        <v>9800</v>
      </c>
      <c r="F45" s="2">
        <v>9800</v>
      </c>
      <c r="G45" s="3">
        <v>9800</v>
      </c>
      <c r="H45" s="2" t="s">
        <v>131</v>
      </c>
      <c r="I45" t="s">
        <v>127</v>
      </c>
      <c r="L45" s="2" t="s">
        <v>132</v>
      </c>
      <c r="M45" s="2" t="s">
        <v>53</v>
      </c>
      <c r="N45" s="2">
        <v>0</v>
      </c>
    </row>
    <row r="46" ht="16.5" spans="1:14">
      <c r="A46" s="2">
        <v>6003</v>
      </c>
      <c r="B46" t="s">
        <v>130</v>
      </c>
      <c r="C46">
        <v>6</v>
      </c>
      <c r="D46">
        <v>1003003</v>
      </c>
      <c r="E46" s="2">
        <v>9800</v>
      </c>
      <c r="F46" s="2">
        <v>9800</v>
      </c>
      <c r="G46" s="3">
        <v>9800</v>
      </c>
      <c r="H46" s="2" t="s">
        <v>131</v>
      </c>
      <c r="I46" t="s">
        <v>127</v>
      </c>
      <c r="L46" s="2" t="s">
        <v>132</v>
      </c>
      <c r="M46" s="2" t="s">
        <v>26</v>
      </c>
      <c r="N46">
        <v>0</v>
      </c>
    </row>
    <row r="47" ht="16.5" spans="1:14">
      <c r="A47" s="2">
        <v>7011</v>
      </c>
      <c r="B47" t="s">
        <v>133</v>
      </c>
      <c r="C47">
        <v>7</v>
      </c>
      <c r="E47" s="2">
        <v>6800</v>
      </c>
      <c r="F47" s="2">
        <v>6800</v>
      </c>
      <c r="G47" s="3">
        <v>6800</v>
      </c>
      <c r="H47" s="2" t="s">
        <v>82</v>
      </c>
      <c r="I47" t="s">
        <v>127</v>
      </c>
      <c r="L47" s="2" t="s">
        <v>85</v>
      </c>
      <c r="M47" s="2" t="s">
        <v>47</v>
      </c>
      <c r="N47" s="2">
        <v>0</v>
      </c>
    </row>
    <row r="48" ht="16.5" spans="1:14">
      <c r="A48" s="2">
        <v>7012</v>
      </c>
      <c r="B48" t="s">
        <v>134</v>
      </c>
      <c r="C48">
        <v>7</v>
      </c>
      <c r="E48" s="2">
        <v>12800</v>
      </c>
      <c r="F48" s="2">
        <v>12800</v>
      </c>
      <c r="G48" s="3">
        <v>12800</v>
      </c>
      <c r="H48" s="2" t="s">
        <v>60</v>
      </c>
      <c r="I48" t="s">
        <v>127</v>
      </c>
      <c r="L48" s="2" t="s">
        <v>87</v>
      </c>
      <c r="M48" s="2" t="s">
        <v>53</v>
      </c>
      <c r="N48">
        <v>0</v>
      </c>
    </row>
    <row r="49" ht="16.5" spans="1:14">
      <c r="A49" s="2">
        <v>7013</v>
      </c>
      <c r="B49" t="s">
        <v>135</v>
      </c>
      <c r="C49">
        <v>7</v>
      </c>
      <c r="E49" s="2">
        <v>19800</v>
      </c>
      <c r="F49" s="2">
        <v>19800</v>
      </c>
      <c r="G49" s="3">
        <v>19800</v>
      </c>
      <c r="H49" s="2" t="s">
        <v>108</v>
      </c>
      <c r="I49" t="s">
        <v>127</v>
      </c>
      <c r="L49" s="2" t="s">
        <v>110</v>
      </c>
      <c r="M49" s="2" t="s">
        <v>26</v>
      </c>
      <c r="N49" s="2">
        <v>0</v>
      </c>
    </row>
    <row r="50" ht="16.5" spans="1:14">
      <c r="A50" s="2">
        <v>7014</v>
      </c>
      <c r="B50" t="s">
        <v>136</v>
      </c>
      <c r="C50">
        <v>7</v>
      </c>
      <c r="E50" s="2">
        <v>19800</v>
      </c>
      <c r="F50" s="2">
        <v>19800</v>
      </c>
      <c r="G50" s="3">
        <v>19800</v>
      </c>
      <c r="H50" s="2" t="s">
        <v>108</v>
      </c>
      <c r="I50" t="s">
        <v>127</v>
      </c>
      <c r="L50" s="2" t="s">
        <v>110</v>
      </c>
      <c r="M50" s="2" t="s">
        <v>47</v>
      </c>
      <c r="N50">
        <v>0</v>
      </c>
    </row>
    <row r="51" ht="16.5" spans="1:14">
      <c r="A51" s="2">
        <v>7015</v>
      </c>
      <c r="B51" t="s">
        <v>137</v>
      </c>
      <c r="C51">
        <v>7</v>
      </c>
      <c r="E51" s="2">
        <v>19800</v>
      </c>
      <c r="F51" s="2">
        <v>19800</v>
      </c>
      <c r="G51" s="3">
        <v>19800</v>
      </c>
      <c r="H51" s="2" t="s">
        <v>108</v>
      </c>
      <c r="I51" t="s">
        <v>127</v>
      </c>
      <c r="L51" s="2" t="s">
        <v>110</v>
      </c>
      <c r="M51" s="2" t="s">
        <v>53</v>
      </c>
      <c r="N51" s="2">
        <v>0</v>
      </c>
    </row>
    <row r="52" ht="16.5" spans="1:14">
      <c r="A52" s="2">
        <v>7021</v>
      </c>
      <c r="B52" t="s">
        <v>138</v>
      </c>
      <c r="C52">
        <v>7</v>
      </c>
      <c r="E52" s="2">
        <v>6800</v>
      </c>
      <c r="F52" s="2">
        <v>6800</v>
      </c>
      <c r="G52" s="3">
        <v>6800</v>
      </c>
      <c r="H52" s="2" t="s">
        <v>82</v>
      </c>
      <c r="I52" t="s">
        <v>127</v>
      </c>
      <c r="L52" s="2" t="s">
        <v>85</v>
      </c>
      <c r="M52" s="2" t="s">
        <v>26</v>
      </c>
      <c r="N52">
        <v>0</v>
      </c>
    </row>
    <row r="53" ht="16.5" spans="1:14">
      <c r="A53" s="2">
        <v>7022</v>
      </c>
      <c r="B53" t="s">
        <v>139</v>
      </c>
      <c r="C53">
        <v>7</v>
      </c>
      <c r="E53" s="2">
        <v>12800</v>
      </c>
      <c r="F53" s="2">
        <v>12800</v>
      </c>
      <c r="G53" s="3">
        <v>12800</v>
      </c>
      <c r="H53" s="2" t="s">
        <v>60</v>
      </c>
      <c r="I53" t="s">
        <v>127</v>
      </c>
      <c r="L53" s="2" t="s">
        <v>87</v>
      </c>
      <c r="M53" s="2" t="s">
        <v>47</v>
      </c>
      <c r="N53" s="2">
        <v>0</v>
      </c>
    </row>
    <row r="54" ht="16.5" spans="1:14">
      <c r="A54" s="2">
        <v>7023</v>
      </c>
      <c r="B54" t="s">
        <v>140</v>
      </c>
      <c r="C54">
        <v>7</v>
      </c>
      <c r="E54" s="2">
        <v>19800</v>
      </c>
      <c r="F54" s="2">
        <v>19800</v>
      </c>
      <c r="G54" s="3">
        <v>19800</v>
      </c>
      <c r="H54" s="2" t="s">
        <v>108</v>
      </c>
      <c r="I54" t="s">
        <v>127</v>
      </c>
      <c r="L54" s="2" t="s">
        <v>110</v>
      </c>
      <c r="M54" s="2" t="s">
        <v>53</v>
      </c>
      <c r="N54">
        <v>0</v>
      </c>
    </row>
    <row r="55" ht="16.5" spans="1:14">
      <c r="A55" s="2">
        <v>7024</v>
      </c>
      <c r="B55" t="s">
        <v>141</v>
      </c>
      <c r="C55">
        <v>7</v>
      </c>
      <c r="E55" s="2">
        <v>19800</v>
      </c>
      <c r="F55" s="2">
        <v>19800</v>
      </c>
      <c r="G55" s="3">
        <v>19800</v>
      </c>
      <c r="H55" s="2" t="s">
        <v>108</v>
      </c>
      <c r="I55" t="s">
        <v>127</v>
      </c>
      <c r="L55" s="2" t="s">
        <v>110</v>
      </c>
      <c r="M55" s="2" t="s">
        <v>26</v>
      </c>
      <c r="N55" s="2">
        <v>0</v>
      </c>
    </row>
    <row r="56" ht="16.5" spans="1:14">
      <c r="A56" s="2">
        <v>7025</v>
      </c>
      <c r="B56" t="s">
        <v>142</v>
      </c>
      <c r="C56">
        <v>7</v>
      </c>
      <c r="E56" s="2">
        <v>19800</v>
      </c>
      <c r="F56" s="2">
        <v>19800</v>
      </c>
      <c r="G56" s="3">
        <v>19800</v>
      </c>
      <c r="H56" s="2" t="s">
        <v>108</v>
      </c>
      <c r="I56" t="s">
        <v>127</v>
      </c>
      <c r="L56" s="2" t="s">
        <v>110</v>
      </c>
      <c r="M56" s="2" t="s">
        <v>47</v>
      </c>
      <c r="N56">
        <v>0</v>
      </c>
    </row>
    <row r="57" ht="16.5" spans="1:14">
      <c r="A57" s="2">
        <v>7031</v>
      </c>
      <c r="B57" t="s">
        <v>143</v>
      </c>
      <c r="C57">
        <v>7</v>
      </c>
      <c r="E57" s="2">
        <v>6800</v>
      </c>
      <c r="F57" s="2">
        <v>6800</v>
      </c>
      <c r="G57" s="3">
        <v>6800</v>
      </c>
      <c r="H57" s="2" t="s">
        <v>82</v>
      </c>
      <c r="I57" t="s">
        <v>127</v>
      </c>
      <c r="L57" s="2" t="s">
        <v>85</v>
      </c>
      <c r="M57" s="2" t="s">
        <v>53</v>
      </c>
      <c r="N57" s="2">
        <v>0</v>
      </c>
    </row>
    <row r="58" ht="16.5" spans="1:14">
      <c r="A58" s="2">
        <v>7032</v>
      </c>
      <c r="B58" t="s">
        <v>144</v>
      </c>
      <c r="C58">
        <v>7</v>
      </c>
      <c r="E58" s="2">
        <v>12800</v>
      </c>
      <c r="F58" s="2">
        <v>12800</v>
      </c>
      <c r="G58" s="3">
        <v>12800</v>
      </c>
      <c r="H58" s="2" t="s">
        <v>60</v>
      </c>
      <c r="I58" t="s">
        <v>127</v>
      </c>
      <c r="L58" s="2" t="s">
        <v>87</v>
      </c>
      <c r="M58" s="2" t="s">
        <v>26</v>
      </c>
      <c r="N58">
        <v>0</v>
      </c>
    </row>
    <row r="59" ht="16.5" spans="1:14">
      <c r="A59" s="2">
        <v>7033</v>
      </c>
      <c r="B59" t="s">
        <v>145</v>
      </c>
      <c r="C59">
        <v>7</v>
      </c>
      <c r="E59" s="2">
        <v>19800</v>
      </c>
      <c r="F59" s="2">
        <v>19800</v>
      </c>
      <c r="G59" s="3">
        <v>19800</v>
      </c>
      <c r="H59" s="2" t="s">
        <v>108</v>
      </c>
      <c r="I59" t="s">
        <v>127</v>
      </c>
      <c r="L59" s="2" t="s">
        <v>110</v>
      </c>
      <c r="M59" s="2" t="s">
        <v>47</v>
      </c>
      <c r="N59" s="2">
        <v>0</v>
      </c>
    </row>
    <row r="60" ht="16.5" spans="1:14">
      <c r="A60" s="2">
        <v>7034</v>
      </c>
      <c r="B60" t="s">
        <v>146</v>
      </c>
      <c r="C60">
        <v>7</v>
      </c>
      <c r="E60" s="2">
        <v>19800</v>
      </c>
      <c r="F60" s="2">
        <v>19800</v>
      </c>
      <c r="G60" s="3">
        <v>19800</v>
      </c>
      <c r="H60" s="2" t="s">
        <v>108</v>
      </c>
      <c r="I60" t="s">
        <v>127</v>
      </c>
      <c r="L60" s="2" t="s">
        <v>110</v>
      </c>
      <c r="M60" s="2" t="s">
        <v>53</v>
      </c>
      <c r="N60">
        <v>0</v>
      </c>
    </row>
    <row r="61" ht="16.5" spans="1:14">
      <c r="A61" s="2">
        <v>7035</v>
      </c>
      <c r="B61" t="s">
        <v>147</v>
      </c>
      <c r="C61">
        <v>7</v>
      </c>
      <c r="E61" s="2">
        <v>19800</v>
      </c>
      <c r="F61" s="2">
        <v>19800</v>
      </c>
      <c r="G61" s="3">
        <v>19800</v>
      </c>
      <c r="H61" s="2" t="s">
        <v>108</v>
      </c>
      <c r="I61" t="s">
        <v>127</v>
      </c>
      <c r="L61" s="2" t="s">
        <v>110</v>
      </c>
      <c r="M61" s="2" t="s">
        <v>26</v>
      </c>
      <c r="N61" s="2">
        <v>0</v>
      </c>
    </row>
    <row r="62" ht="16.5" spans="1:14">
      <c r="A62" s="2">
        <v>7041</v>
      </c>
      <c r="B62" t="s">
        <v>148</v>
      </c>
      <c r="C62">
        <v>7</v>
      </c>
      <c r="E62" s="2">
        <v>6800</v>
      </c>
      <c r="F62" s="2">
        <v>6800</v>
      </c>
      <c r="G62" s="3">
        <v>6800</v>
      </c>
      <c r="H62" s="2" t="s">
        <v>82</v>
      </c>
      <c r="I62" t="s">
        <v>127</v>
      </c>
      <c r="L62" s="2" t="s">
        <v>85</v>
      </c>
      <c r="M62" s="2" t="s">
        <v>47</v>
      </c>
      <c r="N62">
        <v>0</v>
      </c>
    </row>
    <row r="63" ht="16.5" spans="1:14">
      <c r="A63" s="2">
        <v>7042</v>
      </c>
      <c r="B63" t="s">
        <v>149</v>
      </c>
      <c r="C63">
        <v>7</v>
      </c>
      <c r="E63" s="2">
        <v>12800</v>
      </c>
      <c r="F63" s="2">
        <v>12800</v>
      </c>
      <c r="G63" s="3">
        <v>12800</v>
      </c>
      <c r="H63" s="2" t="s">
        <v>60</v>
      </c>
      <c r="I63" t="s">
        <v>127</v>
      </c>
      <c r="L63" s="2" t="s">
        <v>87</v>
      </c>
      <c r="M63" s="2" t="s">
        <v>53</v>
      </c>
      <c r="N63" s="2">
        <v>0</v>
      </c>
    </row>
    <row r="64" ht="16.5" spans="1:14">
      <c r="A64" s="2">
        <v>7043</v>
      </c>
      <c r="B64" t="s">
        <v>150</v>
      </c>
      <c r="C64">
        <v>7</v>
      </c>
      <c r="E64" s="2">
        <v>19800</v>
      </c>
      <c r="F64" s="2">
        <v>19800</v>
      </c>
      <c r="G64" s="3">
        <v>19800</v>
      </c>
      <c r="H64" s="2" t="s">
        <v>108</v>
      </c>
      <c r="I64" t="s">
        <v>127</v>
      </c>
      <c r="L64" s="2" t="s">
        <v>110</v>
      </c>
      <c r="M64" s="2" t="s">
        <v>26</v>
      </c>
      <c r="N64">
        <v>0</v>
      </c>
    </row>
    <row r="65" ht="16.5" spans="1:14">
      <c r="A65" s="2">
        <v>7044</v>
      </c>
      <c r="B65" t="s">
        <v>151</v>
      </c>
      <c r="C65">
        <v>7</v>
      </c>
      <c r="E65" s="2">
        <v>19800</v>
      </c>
      <c r="F65" s="2">
        <v>19800</v>
      </c>
      <c r="G65" s="3">
        <v>19800</v>
      </c>
      <c r="H65" s="2" t="s">
        <v>108</v>
      </c>
      <c r="I65" t="s">
        <v>127</v>
      </c>
      <c r="L65" s="2" t="s">
        <v>110</v>
      </c>
      <c r="M65" s="2" t="s">
        <v>47</v>
      </c>
      <c r="N65" s="2">
        <v>0</v>
      </c>
    </row>
    <row r="66" ht="16.5" spans="1:14">
      <c r="A66" s="2">
        <v>7045</v>
      </c>
      <c r="B66" t="s">
        <v>152</v>
      </c>
      <c r="C66">
        <v>7</v>
      </c>
      <c r="E66" s="2">
        <v>19800</v>
      </c>
      <c r="F66" s="2">
        <v>19800</v>
      </c>
      <c r="G66" s="3">
        <v>19800</v>
      </c>
      <c r="H66" s="2" t="s">
        <v>108</v>
      </c>
      <c r="I66" t="s">
        <v>127</v>
      </c>
      <c r="L66" s="2" t="s">
        <v>110</v>
      </c>
      <c r="M66" s="2" t="s">
        <v>53</v>
      </c>
      <c r="N66">
        <v>0</v>
      </c>
    </row>
    <row r="67" ht="16.5" spans="1:14">
      <c r="A67" s="2">
        <v>8001</v>
      </c>
      <c r="B67" t="s">
        <v>153</v>
      </c>
      <c r="C67">
        <v>8</v>
      </c>
      <c r="E67" s="2">
        <v>3000</v>
      </c>
      <c r="F67" s="2">
        <v>3000</v>
      </c>
      <c r="G67" s="3">
        <v>3000</v>
      </c>
      <c r="H67" s="2" t="s">
        <v>78</v>
      </c>
      <c r="I67" t="s">
        <v>154</v>
      </c>
      <c r="L67" s="2" t="s">
        <v>81</v>
      </c>
      <c r="M67" s="2" t="s">
        <v>26</v>
      </c>
      <c r="N67" s="2">
        <v>720</v>
      </c>
    </row>
    <row r="68" ht="16.5" spans="1:14">
      <c r="A68" s="2">
        <v>8002</v>
      </c>
      <c r="B68" t="s">
        <v>155</v>
      </c>
      <c r="C68">
        <v>8</v>
      </c>
      <c r="E68" s="2">
        <v>6800</v>
      </c>
      <c r="F68" s="2">
        <v>6800</v>
      </c>
      <c r="G68" s="3">
        <v>6800</v>
      </c>
      <c r="H68" s="2" t="s">
        <v>82</v>
      </c>
      <c r="I68" t="s">
        <v>156</v>
      </c>
      <c r="L68" s="2" t="s">
        <v>85</v>
      </c>
      <c r="M68" s="2" t="s">
        <v>47</v>
      </c>
      <c r="N68">
        <v>720</v>
      </c>
    </row>
    <row r="69" ht="16.5" spans="1:14">
      <c r="A69" s="2">
        <v>8003</v>
      </c>
      <c r="B69" t="s">
        <v>157</v>
      </c>
      <c r="C69">
        <v>8</v>
      </c>
      <c r="E69" s="2">
        <v>12800</v>
      </c>
      <c r="F69" s="2">
        <v>12800</v>
      </c>
      <c r="G69" s="3">
        <v>12800</v>
      </c>
      <c r="H69" s="2" t="s">
        <v>60</v>
      </c>
      <c r="I69" t="s">
        <v>158</v>
      </c>
      <c r="L69" s="2" t="s">
        <v>87</v>
      </c>
      <c r="M69" s="2" t="s">
        <v>53</v>
      </c>
      <c r="N69" s="2">
        <v>720</v>
      </c>
    </row>
    <row r="70" ht="16.5" spans="1:14">
      <c r="A70" s="2">
        <v>8004</v>
      </c>
      <c r="B70" t="s">
        <v>159</v>
      </c>
      <c r="C70">
        <v>8</v>
      </c>
      <c r="E70" s="2">
        <v>19800</v>
      </c>
      <c r="F70" s="2">
        <v>19800</v>
      </c>
      <c r="G70" s="3">
        <v>19800</v>
      </c>
      <c r="H70" s="2" t="s">
        <v>108</v>
      </c>
      <c r="I70" t="s">
        <v>160</v>
      </c>
      <c r="L70" s="2" t="s">
        <v>110</v>
      </c>
      <c r="M70" s="2" t="s">
        <v>26</v>
      </c>
      <c r="N70">
        <v>720</v>
      </c>
    </row>
    <row r="71" ht="16.5" spans="1:14">
      <c r="A71" s="2">
        <v>8005</v>
      </c>
      <c r="B71" t="s">
        <v>161</v>
      </c>
      <c r="C71">
        <v>8</v>
      </c>
      <c r="E71" s="2">
        <v>19800</v>
      </c>
      <c r="F71" s="2">
        <v>19800</v>
      </c>
      <c r="G71" s="3">
        <v>19800</v>
      </c>
      <c r="H71" s="2" t="s">
        <v>108</v>
      </c>
      <c r="I71" t="s">
        <v>160</v>
      </c>
      <c r="L71" s="2" t="s">
        <v>110</v>
      </c>
      <c r="M71" s="2" t="s">
        <v>47</v>
      </c>
      <c r="N71" s="2">
        <v>720</v>
      </c>
    </row>
    <row r="72" ht="16.5" spans="1:14">
      <c r="A72" s="2">
        <v>8100</v>
      </c>
      <c r="B72" s="5" t="s">
        <v>162</v>
      </c>
      <c r="C72">
        <v>8</v>
      </c>
      <c r="E72" s="2">
        <v>600</v>
      </c>
      <c r="F72" s="2">
        <v>600</v>
      </c>
      <c r="G72" s="3">
        <v>600</v>
      </c>
      <c r="H72" s="2" t="s">
        <v>42</v>
      </c>
      <c r="I72" t="s">
        <v>163</v>
      </c>
      <c r="L72" s="2" t="s">
        <v>46</v>
      </c>
      <c r="M72" s="2" t="s">
        <v>53</v>
      </c>
      <c r="N72">
        <v>760</v>
      </c>
    </row>
    <row r="73" ht="16.5" spans="1:14">
      <c r="A73" s="2">
        <v>8101</v>
      </c>
      <c r="B73" s="5" t="s">
        <v>164</v>
      </c>
      <c r="C73">
        <v>8</v>
      </c>
      <c r="E73" s="2">
        <v>3000</v>
      </c>
      <c r="F73" s="2">
        <v>3000</v>
      </c>
      <c r="G73" s="3">
        <v>3000</v>
      </c>
      <c r="H73" s="2" t="s">
        <v>78</v>
      </c>
      <c r="I73" t="s">
        <v>165</v>
      </c>
      <c r="L73" s="2" t="s">
        <v>81</v>
      </c>
      <c r="M73" s="2" t="s">
        <v>53</v>
      </c>
      <c r="N73">
        <v>760</v>
      </c>
    </row>
    <row r="74" ht="16.5" spans="1:14">
      <c r="A74" s="2">
        <v>8102</v>
      </c>
      <c r="B74" s="5" t="s">
        <v>166</v>
      </c>
      <c r="C74">
        <v>8</v>
      </c>
      <c r="E74" s="2">
        <v>9800</v>
      </c>
      <c r="F74" s="2">
        <v>9800</v>
      </c>
      <c r="G74" s="3">
        <v>9800</v>
      </c>
      <c r="H74" s="2" t="s">
        <v>131</v>
      </c>
      <c r="I74" t="s">
        <v>167</v>
      </c>
      <c r="L74" s="2" t="s">
        <v>132</v>
      </c>
      <c r="M74" s="2" t="s">
        <v>26</v>
      </c>
      <c r="N74" s="2">
        <v>760</v>
      </c>
    </row>
    <row r="75" ht="16.5" spans="1:14">
      <c r="A75" s="2">
        <v>8103</v>
      </c>
      <c r="B75" s="5" t="s">
        <v>168</v>
      </c>
      <c r="C75">
        <v>8</v>
      </c>
      <c r="E75" s="2">
        <v>12800</v>
      </c>
      <c r="F75" s="2">
        <v>12800</v>
      </c>
      <c r="G75" s="3">
        <v>12800</v>
      </c>
      <c r="H75" s="2" t="s">
        <v>60</v>
      </c>
      <c r="I75" t="s">
        <v>169</v>
      </c>
      <c r="L75" s="2" t="s">
        <v>87</v>
      </c>
      <c r="M75" s="2" t="s">
        <v>47</v>
      </c>
      <c r="N75">
        <v>760</v>
      </c>
    </row>
    <row r="76" ht="16.5" spans="1:14">
      <c r="A76" s="2">
        <v>8104</v>
      </c>
      <c r="B76" s="5" t="s">
        <v>170</v>
      </c>
      <c r="C76">
        <v>8</v>
      </c>
      <c r="E76" s="2">
        <v>12800</v>
      </c>
      <c r="F76" s="2">
        <v>12800</v>
      </c>
      <c r="G76" s="3">
        <v>12800</v>
      </c>
      <c r="H76" s="2" t="s">
        <v>60</v>
      </c>
      <c r="I76" t="s">
        <v>171</v>
      </c>
      <c r="L76" s="2" t="s">
        <v>87</v>
      </c>
      <c r="M76" s="2" t="s">
        <v>53</v>
      </c>
      <c r="N76" s="2">
        <v>760</v>
      </c>
    </row>
    <row r="77" ht="16.5" spans="1:14">
      <c r="A77" s="2">
        <v>8105</v>
      </c>
      <c r="B77" s="5" t="s">
        <v>172</v>
      </c>
      <c r="C77">
        <v>8</v>
      </c>
      <c r="E77" s="2">
        <v>19800</v>
      </c>
      <c r="F77" s="2">
        <v>19800</v>
      </c>
      <c r="G77" s="3">
        <v>19800</v>
      </c>
      <c r="H77" s="2" t="s">
        <v>108</v>
      </c>
      <c r="I77" t="s">
        <v>173</v>
      </c>
      <c r="L77" s="2" t="s">
        <v>110</v>
      </c>
      <c r="M77" s="2" t="s">
        <v>26</v>
      </c>
      <c r="N77">
        <v>760</v>
      </c>
    </row>
    <row r="78" ht="16.5" spans="1:14">
      <c r="A78" s="2">
        <v>8106</v>
      </c>
      <c r="B78" s="5" t="s">
        <v>174</v>
      </c>
      <c r="C78">
        <v>8</v>
      </c>
      <c r="E78" s="2">
        <v>19800</v>
      </c>
      <c r="F78" s="2">
        <v>19800</v>
      </c>
      <c r="G78" s="3">
        <v>19800</v>
      </c>
      <c r="H78" s="2" t="s">
        <v>108</v>
      </c>
      <c r="I78" t="s">
        <v>173</v>
      </c>
      <c r="L78" s="2" t="s">
        <v>110</v>
      </c>
      <c r="M78" s="2" t="s">
        <v>47</v>
      </c>
      <c r="N78" s="2">
        <v>690</v>
      </c>
    </row>
    <row r="79" ht="16.5" spans="1:14">
      <c r="A79" s="2">
        <v>8201</v>
      </c>
      <c r="B79" s="2" t="s">
        <v>175</v>
      </c>
      <c r="C79">
        <v>8</v>
      </c>
      <c r="E79" s="2">
        <v>3000</v>
      </c>
      <c r="F79" s="2">
        <v>3000</v>
      </c>
      <c r="G79" s="2">
        <v>3000</v>
      </c>
      <c r="H79" s="2" t="s">
        <v>78</v>
      </c>
      <c r="I79" t="s">
        <v>176</v>
      </c>
      <c r="L79" s="2" t="s">
        <v>81</v>
      </c>
      <c r="M79" s="2" t="s">
        <v>26</v>
      </c>
      <c r="N79" s="2">
        <v>700</v>
      </c>
    </row>
    <row r="80" ht="16.5" spans="1:14">
      <c r="A80" s="2">
        <v>8202</v>
      </c>
      <c r="B80" s="2" t="s">
        <v>177</v>
      </c>
      <c r="C80">
        <v>8</v>
      </c>
      <c r="E80" s="2">
        <v>6800</v>
      </c>
      <c r="F80" s="2">
        <v>6800</v>
      </c>
      <c r="G80" s="2">
        <v>6800</v>
      </c>
      <c r="H80" s="2" t="s">
        <v>82</v>
      </c>
      <c r="I80" t="s">
        <v>178</v>
      </c>
      <c r="L80" s="2" t="s">
        <v>85</v>
      </c>
      <c r="M80" s="2" t="s">
        <v>53</v>
      </c>
      <c r="N80" s="2">
        <v>700</v>
      </c>
    </row>
    <row r="81" ht="16.5" spans="1:14">
      <c r="A81" s="2">
        <v>8203</v>
      </c>
      <c r="B81" s="2" t="s">
        <v>179</v>
      </c>
      <c r="C81">
        <v>8</v>
      </c>
      <c r="E81" s="2">
        <v>6800</v>
      </c>
      <c r="F81" s="2">
        <v>6800</v>
      </c>
      <c r="G81" s="2">
        <v>6800</v>
      </c>
      <c r="H81" s="2" t="s">
        <v>82</v>
      </c>
      <c r="I81" t="s">
        <v>180</v>
      </c>
      <c r="L81" s="2" t="s">
        <v>85</v>
      </c>
      <c r="M81" s="2" t="s">
        <v>26</v>
      </c>
      <c r="N81" s="2">
        <v>700</v>
      </c>
    </row>
    <row r="82" ht="16.5" spans="1:14">
      <c r="A82" s="2">
        <v>8204</v>
      </c>
      <c r="B82" s="2" t="s">
        <v>181</v>
      </c>
      <c r="C82">
        <v>8</v>
      </c>
      <c r="E82" s="2">
        <v>9800</v>
      </c>
      <c r="F82" s="2">
        <v>9800</v>
      </c>
      <c r="G82" s="2">
        <v>9800</v>
      </c>
      <c r="H82" s="2" t="s">
        <v>131</v>
      </c>
      <c r="I82" t="s">
        <v>182</v>
      </c>
      <c r="L82" s="2" t="s">
        <v>132</v>
      </c>
      <c r="M82" s="2" t="s">
        <v>47</v>
      </c>
      <c r="N82" s="2">
        <v>700</v>
      </c>
    </row>
    <row r="83" ht="16.5" spans="1:14">
      <c r="A83" s="2">
        <v>8205</v>
      </c>
      <c r="B83" s="2" t="s">
        <v>183</v>
      </c>
      <c r="C83">
        <v>8</v>
      </c>
      <c r="E83" s="2">
        <v>12800</v>
      </c>
      <c r="F83" s="2">
        <v>12800</v>
      </c>
      <c r="G83" s="2">
        <v>12800</v>
      </c>
      <c r="H83" s="2" t="s">
        <v>60</v>
      </c>
      <c r="I83" t="s">
        <v>184</v>
      </c>
      <c r="L83" s="2" t="s">
        <v>87</v>
      </c>
      <c r="M83" s="2" t="s">
        <v>53</v>
      </c>
      <c r="N83" s="2">
        <v>700</v>
      </c>
    </row>
    <row r="84" ht="16.5" spans="1:14">
      <c r="A84" s="2">
        <v>8206</v>
      </c>
      <c r="B84" s="2" t="s">
        <v>185</v>
      </c>
      <c r="C84">
        <v>8</v>
      </c>
      <c r="E84" s="2">
        <v>19800</v>
      </c>
      <c r="F84" s="2">
        <v>19800</v>
      </c>
      <c r="G84" s="2">
        <v>19800</v>
      </c>
      <c r="H84" s="2" t="s">
        <v>108</v>
      </c>
      <c r="I84" t="s">
        <v>186</v>
      </c>
      <c r="L84" s="2" t="s">
        <v>110</v>
      </c>
      <c r="M84" s="2" t="s">
        <v>26</v>
      </c>
      <c r="N84" s="2">
        <v>700</v>
      </c>
    </row>
    <row r="85" ht="16.5" spans="1:14">
      <c r="A85" s="2">
        <v>8207</v>
      </c>
      <c r="B85" s="2" t="s">
        <v>187</v>
      </c>
      <c r="C85">
        <v>8</v>
      </c>
      <c r="E85" s="2">
        <v>32800</v>
      </c>
      <c r="F85" s="2">
        <v>32800</v>
      </c>
      <c r="G85" s="2">
        <v>32800</v>
      </c>
      <c r="H85" s="2" t="s">
        <v>88</v>
      </c>
      <c r="I85" t="s">
        <v>188</v>
      </c>
      <c r="L85" s="2" t="s">
        <v>91</v>
      </c>
      <c r="M85" s="2" t="s">
        <v>26</v>
      </c>
      <c r="N85" s="2">
        <v>700</v>
      </c>
    </row>
    <row r="86" ht="16.5" spans="1:14">
      <c r="A86" s="2">
        <v>8208</v>
      </c>
      <c r="B86" s="2" t="s">
        <v>189</v>
      </c>
      <c r="C86">
        <v>8</v>
      </c>
      <c r="E86" s="2">
        <v>64800</v>
      </c>
      <c r="F86" s="2">
        <v>64800</v>
      </c>
      <c r="G86" s="2">
        <v>64800</v>
      </c>
      <c r="H86" s="2" t="s">
        <v>55</v>
      </c>
      <c r="I86" t="s">
        <v>190</v>
      </c>
      <c r="L86" s="2" t="s">
        <v>58</v>
      </c>
      <c r="M86" s="2" t="s">
        <v>26</v>
      </c>
      <c r="N86" s="2">
        <v>700</v>
      </c>
    </row>
    <row r="87" ht="16.5" spans="1:14">
      <c r="A87" s="2">
        <v>8211</v>
      </c>
      <c r="B87" s="2" t="s">
        <v>191</v>
      </c>
      <c r="C87">
        <v>8</v>
      </c>
      <c r="E87" s="2">
        <v>3000</v>
      </c>
      <c r="F87" s="2">
        <v>3000</v>
      </c>
      <c r="G87" s="2">
        <v>3000</v>
      </c>
      <c r="H87" s="2" t="s">
        <v>78</v>
      </c>
      <c r="I87" t="s">
        <v>176</v>
      </c>
      <c r="L87" s="2" t="s">
        <v>81</v>
      </c>
      <c r="M87" s="2" t="s">
        <v>26</v>
      </c>
      <c r="N87" s="2">
        <v>950</v>
      </c>
    </row>
    <row r="88" ht="16.5" spans="1:14">
      <c r="A88" s="2">
        <v>8212</v>
      </c>
      <c r="B88" s="2" t="s">
        <v>192</v>
      </c>
      <c r="C88">
        <v>8</v>
      </c>
      <c r="E88" s="2">
        <v>6800</v>
      </c>
      <c r="F88" s="2">
        <v>6800</v>
      </c>
      <c r="G88" s="2">
        <v>6800</v>
      </c>
      <c r="H88" s="2" t="s">
        <v>82</v>
      </c>
      <c r="I88" t="s">
        <v>178</v>
      </c>
      <c r="L88" s="2" t="s">
        <v>85</v>
      </c>
      <c r="M88" s="2" t="s">
        <v>53</v>
      </c>
      <c r="N88" s="2">
        <v>950</v>
      </c>
    </row>
    <row r="89" ht="16.5" spans="1:14">
      <c r="A89" s="2">
        <v>8213</v>
      </c>
      <c r="B89" s="2" t="s">
        <v>193</v>
      </c>
      <c r="C89">
        <v>8</v>
      </c>
      <c r="E89" s="2">
        <v>6800</v>
      </c>
      <c r="F89" s="2">
        <v>6800</v>
      </c>
      <c r="G89" s="2">
        <v>6800</v>
      </c>
      <c r="H89" s="2" t="s">
        <v>82</v>
      </c>
      <c r="I89" t="s">
        <v>180</v>
      </c>
      <c r="L89" s="2" t="s">
        <v>85</v>
      </c>
      <c r="M89" s="2" t="s">
        <v>26</v>
      </c>
      <c r="N89" s="2">
        <v>950</v>
      </c>
    </row>
    <row r="90" ht="16.5" spans="1:14">
      <c r="A90" s="2">
        <v>8214</v>
      </c>
      <c r="B90" s="2" t="s">
        <v>194</v>
      </c>
      <c r="C90">
        <v>8</v>
      </c>
      <c r="E90" s="2">
        <v>9800</v>
      </c>
      <c r="F90" s="2">
        <v>9800</v>
      </c>
      <c r="G90" s="2">
        <v>9800</v>
      </c>
      <c r="H90" s="2" t="s">
        <v>131</v>
      </c>
      <c r="I90" t="s">
        <v>182</v>
      </c>
      <c r="L90" s="2" t="s">
        <v>132</v>
      </c>
      <c r="M90" s="2" t="s">
        <v>47</v>
      </c>
      <c r="N90" s="2">
        <v>950</v>
      </c>
    </row>
    <row r="91" ht="16.5" spans="1:14">
      <c r="A91" s="2">
        <v>8215</v>
      </c>
      <c r="B91" s="2" t="s">
        <v>195</v>
      </c>
      <c r="C91">
        <v>8</v>
      </c>
      <c r="E91" s="2">
        <v>12800</v>
      </c>
      <c r="F91" s="2">
        <v>12800</v>
      </c>
      <c r="G91" s="2">
        <v>12800</v>
      </c>
      <c r="H91" s="2" t="s">
        <v>60</v>
      </c>
      <c r="I91" t="s">
        <v>184</v>
      </c>
      <c r="L91" s="2" t="s">
        <v>87</v>
      </c>
      <c r="M91" s="2" t="s">
        <v>53</v>
      </c>
      <c r="N91" s="2">
        <v>950</v>
      </c>
    </row>
    <row r="92" ht="16.5" spans="1:14">
      <c r="A92" s="2">
        <v>8216</v>
      </c>
      <c r="B92" s="2" t="s">
        <v>196</v>
      </c>
      <c r="C92">
        <v>8</v>
      </c>
      <c r="E92" s="2">
        <v>19800</v>
      </c>
      <c r="F92" s="2">
        <v>19800</v>
      </c>
      <c r="G92" s="2">
        <v>19800</v>
      </c>
      <c r="H92" s="2" t="s">
        <v>108</v>
      </c>
      <c r="I92" t="s">
        <v>186</v>
      </c>
      <c r="L92" s="2" t="s">
        <v>110</v>
      </c>
      <c r="M92" s="2" t="s">
        <v>26</v>
      </c>
      <c r="N92" s="2">
        <v>950</v>
      </c>
    </row>
    <row r="93" ht="16.5" spans="1:14">
      <c r="A93" s="2">
        <v>8217</v>
      </c>
      <c r="B93" s="2" t="s">
        <v>197</v>
      </c>
      <c r="C93">
        <v>8</v>
      </c>
      <c r="E93" s="2">
        <v>32800</v>
      </c>
      <c r="F93" s="2">
        <v>32800</v>
      </c>
      <c r="G93" s="2">
        <v>32800</v>
      </c>
      <c r="H93" s="2" t="s">
        <v>88</v>
      </c>
      <c r="I93" t="s">
        <v>188</v>
      </c>
      <c r="L93" s="2" t="s">
        <v>91</v>
      </c>
      <c r="M93" s="2" t="s">
        <v>26</v>
      </c>
      <c r="N93" s="2">
        <v>950</v>
      </c>
    </row>
    <row r="94" ht="16.5" spans="1:14">
      <c r="A94" s="2">
        <v>8218</v>
      </c>
      <c r="B94" s="2" t="s">
        <v>198</v>
      </c>
      <c r="C94">
        <v>8</v>
      </c>
      <c r="E94" s="2">
        <v>64800</v>
      </c>
      <c r="F94" s="2">
        <v>64800</v>
      </c>
      <c r="G94" s="2">
        <v>64800</v>
      </c>
      <c r="H94" s="2" t="s">
        <v>55</v>
      </c>
      <c r="I94" t="s">
        <v>190</v>
      </c>
      <c r="L94" s="2" t="s">
        <v>58</v>
      </c>
      <c r="M94" s="2" t="s">
        <v>26</v>
      </c>
      <c r="N94" s="2">
        <v>950</v>
      </c>
    </row>
    <row r="95" ht="16.5" spans="1:14">
      <c r="A95" s="2">
        <v>8301</v>
      </c>
      <c r="B95" s="2" t="s">
        <v>199</v>
      </c>
      <c r="C95">
        <v>8</v>
      </c>
      <c r="E95" s="2">
        <v>600</v>
      </c>
      <c r="F95" s="2">
        <v>600</v>
      </c>
      <c r="G95" s="3">
        <v>600</v>
      </c>
      <c r="H95" s="2" t="s">
        <v>42</v>
      </c>
      <c r="I95" t="s">
        <v>200</v>
      </c>
      <c r="K95" s="2"/>
      <c r="L95" s="2" t="s">
        <v>46</v>
      </c>
      <c r="M95" s="2" t="s">
        <v>53</v>
      </c>
      <c r="N95" s="2">
        <v>900</v>
      </c>
    </row>
    <row r="96" ht="16.5" spans="1:14">
      <c r="A96" s="2">
        <v>8401</v>
      </c>
      <c r="B96" s="2" t="s">
        <v>201</v>
      </c>
      <c r="C96">
        <v>8</v>
      </c>
      <c r="E96" s="2">
        <v>600</v>
      </c>
      <c r="F96" s="2">
        <v>600</v>
      </c>
      <c r="G96" s="3">
        <v>600</v>
      </c>
      <c r="H96" s="2" t="s">
        <v>42</v>
      </c>
      <c r="I96" t="s">
        <v>202</v>
      </c>
      <c r="L96" s="2" t="s">
        <v>46</v>
      </c>
      <c r="M96" s="2" t="s">
        <v>53</v>
      </c>
      <c r="N96" s="2">
        <v>900</v>
      </c>
    </row>
    <row r="97" ht="16.5" spans="1:14">
      <c r="A97" s="2">
        <v>8402</v>
      </c>
      <c r="B97" s="2" t="s">
        <v>201</v>
      </c>
      <c r="C97">
        <v>8</v>
      </c>
      <c r="E97" s="2">
        <v>600</v>
      </c>
      <c r="F97" s="2">
        <v>600</v>
      </c>
      <c r="G97" s="3">
        <v>600</v>
      </c>
      <c r="H97" s="2" t="s">
        <v>42</v>
      </c>
      <c r="I97" t="s">
        <v>202</v>
      </c>
      <c r="L97" s="2" t="s">
        <v>46</v>
      </c>
      <c r="M97" s="2" t="s">
        <v>53</v>
      </c>
      <c r="N97" s="2">
        <v>900</v>
      </c>
    </row>
    <row r="98" ht="16.5" spans="1:14">
      <c r="A98" s="2">
        <v>8403</v>
      </c>
      <c r="B98" s="2" t="s">
        <v>201</v>
      </c>
      <c r="C98">
        <v>8</v>
      </c>
      <c r="E98" s="2">
        <v>600</v>
      </c>
      <c r="F98" s="2">
        <v>600</v>
      </c>
      <c r="G98" s="3">
        <v>600</v>
      </c>
      <c r="H98" s="2" t="s">
        <v>42</v>
      </c>
      <c r="I98" t="s">
        <v>202</v>
      </c>
      <c r="L98" s="2" t="s">
        <v>46</v>
      </c>
      <c r="M98" s="2" t="s">
        <v>53</v>
      </c>
      <c r="N98" s="2">
        <v>900</v>
      </c>
    </row>
    <row r="99" ht="16.5" spans="1:14">
      <c r="A99" s="2">
        <v>8404</v>
      </c>
      <c r="B99" s="2" t="s">
        <v>201</v>
      </c>
      <c r="C99">
        <v>8</v>
      </c>
      <c r="E99" s="2">
        <v>600</v>
      </c>
      <c r="F99" s="2">
        <v>600</v>
      </c>
      <c r="G99" s="3">
        <v>600</v>
      </c>
      <c r="H99" s="2" t="s">
        <v>42</v>
      </c>
      <c r="I99" t="s">
        <v>202</v>
      </c>
      <c r="L99" s="2" t="s">
        <v>46</v>
      </c>
      <c r="M99" s="2" t="s">
        <v>53</v>
      </c>
      <c r="N99" s="2">
        <v>900</v>
      </c>
    </row>
    <row r="100" ht="16.5" spans="1:14">
      <c r="A100" s="2">
        <v>8501</v>
      </c>
      <c r="B100" s="2" t="s">
        <v>203</v>
      </c>
      <c r="C100">
        <v>8</v>
      </c>
      <c r="E100" s="2">
        <v>600</v>
      </c>
      <c r="F100" s="2">
        <v>600</v>
      </c>
      <c r="G100" s="3">
        <v>600</v>
      </c>
      <c r="H100" s="2" t="s">
        <v>42</v>
      </c>
      <c r="I100" t="s">
        <v>204</v>
      </c>
      <c r="L100" s="2" t="s">
        <v>46</v>
      </c>
      <c r="M100" s="2" t="s">
        <v>53</v>
      </c>
      <c r="N100" s="2">
        <v>900</v>
      </c>
    </row>
    <row r="101" ht="16.5" spans="1:14">
      <c r="A101" s="2">
        <v>8601</v>
      </c>
      <c r="B101" s="2" t="s">
        <v>205</v>
      </c>
      <c r="C101">
        <v>8</v>
      </c>
      <c r="E101" s="2">
        <v>600</v>
      </c>
      <c r="F101" s="2">
        <v>600</v>
      </c>
      <c r="G101" s="3">
        <v>600</v>
      </c>
      <c r="H101" s="2" t="s">
        <v>42</v>
      </c>
      <c r="I101" t="s">
        <v>206</v>
      </c>
      <c r="L101" s="2" t="s">
        <v>46</v>
      </c>
      <c r="M101" s="2" t="s">
        <v>53</v>
      </c>
      <c r="N101" s="2">
        <v>900</v>
      </c>
    </row>
    <row r="102" ht="16.5" spans="1:14">
      <c r="A102" s="2">
        <v>8701</v>
      </c>
      <c r="B102" s="2" t="s">
        <v>207</v>
      </c>
      <c r="C102">
        <v>8</v>
      </c>
      <c r="E102" s="2">
        <v>600</v>
      </c>
      <c r="F102" s="2">
        <v>600</v>
      </c>
      <c r="G102" s="3">
        <v>600</v>
      </c>
      <c r="H102" s="2" t="s">
        <v>42</v>
      </c>
      <c r="I102" t="s">
        <v>204</v>
      </c>
      <c r="L102" s="2" t="s">
        <v>46</v>
      </c>
      <c r="M102" s="2" t="s">
        <v>53</v>
      </c>
      <c r="N102" s="2">
        <v>900</v>
      </c>
    </row>
    <row r="103" ht="16.5" spans="1:14">
      <c r="A103" s="2">
        <v>8702</v>
      </c>
      <c r="B103" s="2" t="s">
        <v>208</v>
      </c>
      <c r="C103">
        <v>8</v>
      </c>
      <c r="E103" s="2">
        <v>600</v>
      </c>
      <c r="F103" s="2">
        <v>600</v>
      </c>
      <c r="G103" s="3">
        <v>600</v>
      </c>
      <c r="H103" s="2" t="s">
        <v>42</v>
      </c>
      <c r="I103" t="s">
        <v>204</v>
      </c>
      <c r="L103" s="2" t="s">
        <v>46</v>
      </c>
      <c r="M103" s="2" t="s">
        <v>53</v>
      </c>
      <c r="N103" s="2">
        <v>900</v>
      </c>
    </row>
    <row r="104" ht="16.5" spans="1:14">
      <c r="A104" s="2">
        <v>8703</v>
      </c>
      <c r="B104" s="2" t="s">
        <v>209</v>
      </c>
      <c r="C104">
        <v>8</v>
      </c>
      <c r="E104" s="2">
        <v>600</v>
      </c>
      <c r="F104" s="2">
        <v>600</v>
      </c>
      <c r="G104" s="3">
        <v>600</v>
      </c>
      <c r="H104" s="2" t="s">
        <v>42</v>
      </c>
      <c r="I104" t="s">
        <v>204</v>
      </c>
      <c r="L104" s="2" t="s">
        <v>46</v>
      </c>
      <c r="M104" s="2" t="s">
        <v>53</v>
      </c>
      <c r="N104" s="2">
        <v>900</v>
      </c>
    </row>
    <row r="105" ht="16.5" spans="1:14">
      <c r="A105" s="2">
        <v>8704</v>
      </c>
      <c r="B105" s="2" t="s">
        <v>210</v>
      </c>
      <c r="C105">
        <v>8</v>
      </c>
      <c r="E105" s="2">
        <v>600</v>
      </c>
      <c r="F105" s="2">
        <v>600</v>
      </c>
      <c r="G105" s="3">
        <v>600</v>
      </c>
      <c r="H105" s="2" t="s">
        <v>42</v>
      </c>
      <c r="I105" t="s">
        <v>204</v>
      </c>
      <c r="L105" s="2" t="s">
        <v>46</v>
      </c>
      <c r="M105" s="2" t="s">
        <v>53</v>
      </c>
      <c r="N105" s="2">
        <v>900</v>
      </c>
    </row>
    <row r="106" ht="16.5" spans="1:14">
      <c r="A106" s="2">
        <v>9001</v>
      </c>
      <c r="B106" t="s">
        <v>211</v>
      </c>
      <c r="C106">
        <v>9</v>
      </c>
      <c r="D106">
        <v>1</v>
      </c>
      <c r="E106" s="2">
        <v>6800</v>
      </c>
      <c r="F106" s="2">
        <v>6800</v>
      </c>
      <c r="G106">
        <v>6800</v>
      </c>
      <c r="H106" s="2" t="s">
        <v>82</v>
      </c>
      <c r="I106" t="s">
        <v>127</v>
      </c>
      <c r="K106" s="2" t="s">
        <v>84</v>
      </c>
      <c r="L106" s="2" t="s">
        <v>85</v>
      </c>
      <c r="M106" s="2"/>
      <c r="N106" s="2">
        <v>0</v>
      </c>
    </row>
    <row r="107" ht="16.5" spans="1:14">
      <c r="A107" s="2">
        <v>9002</v>
      </c>
      <c r="B107" t="s">
        <v>212</v>
      </c>
      <c r="C107">
        <v>9</v>
      </c>
      <c r="D107">
        <v>2</v>
      </c>
      <c r="E107" s="2">
        <v>9800</v>
      </c>
      <c r="F107" s="2">
        <v>9800</v>
      </c>
      <c r="G107">
        <v>9800</v>
      </c>
      <c r="H107" s="2" t="s">
        <v>131</v>
      </c>
      <c r="I107" t="s">
        <v>127</v>
      </c>
      <c r="K107" s="2" t="s">
        <v>213</v>
      </c>
      <c r="L107" s="2" t="s">
        <v>132</v>
      </c>
      <c r="M107" s="2"/>
      <c r="N107">
        <v>0</v>
      </c>
    </row>
    <row r="108" ht="16.5" spans="1:14">
      <c r="A108" s="2">
        <v>10001</v>
      </c>
      <c r="B108" s="2" t="s">
        <v>214</v>
      </c>
      <c r="C108">
        <v>10</v>
      </c>
      <c r="E108" s="2">
        <v>600</v>
      </c>
      <c r="F108" s="2">
        <v>600</v>
      </c>
      <c r="G108">
        <v>600</v>
      </c>
      <c r="H108" s="2" t="s">
        <v>42</v>
      </c>
      <c r="I108" s="2" t="s">
        <v>127</v>
      </c>
      <c r="J108" s="2"/>
      <c r="K108" s="2"/>
      <c r="L108" s="2" t="s">
        <v>46</v>
      </c>
      <c r="M108" s="2"/>
      <c r="N108" s="2">
        <v>0</v>
      </c>
    </row>
    <row r="109" ht="16.5" spans="1:14">
      <c r="A109" s="2">
        <v>10002</v>
      </c>
      <c r="B109" s="2" t="s">
        <v>215</v>
      </c>
      <c r="C109">
        <v>10</v>
      </c>
      <c r="E109" s="2">
        <v>6800</v>
      </c>
      <c r="F109" s="2">
        <v>6800</v>
      </c>
      <c r="G109" s="2">
        <v>6800</v>
      </c>
      <c r="H109" s="2" t="s">
        <v>82</v>
      </c>
      <c r="I109" s="2" t="s">
        <v>127</v>
      </c>
      <c r="J109" s="2"/>
      <c r="K109" s="2"/>
      <c r="L109" s="2" t="s">
        <v>85</v>
      </c>
      <c r="M109" s="2"/>
      <c r="N109" s="2">
        <v>0</v>
      </c>
    </row>
    <row r="110" ht="16.5" spans="1:14">
      <c r="A110" s="2">
        <v>11001</v>
      </c>
      <c r="B110" s="2" t="s">
        <v>216</v>
      </c>
      <c r="C110" s="2">
        <v>11</v>
      </c>
      <c r="D110" s="2"/>
      <c r="E110" s="2">
        <v>600</v>
      </c>
      <c r="F110" s="2">
        <v>600</v>
      </c>
      <c r="G110" s="2">
        <v>600</v>
      </c>
      <c r="H110" s="2" t="s">
        <v>42</v>
      </c>
      <c r="I110" s="2" t="s">
        <v>127</v>
      </c>
      <c r="J110" s="2"/>
      <c r="K110" s="2" t="s">
        <v>45</v>
      </c>
      <c r="L110" s="2" t="s">
        <v>46</v>
      </c>
      <c r="M110" s="2"/>
      <c r="N110" s="2">
        <v>0</v>
      </c>
    </row>
    <row r="111" ht="16.5" spans="1:14">
      <c r="A111" s="2">
        <v>11002</v>
      </c>
      <c r="B111" s="2" t="s">
        <v>217</v>
      </c>
      <c r="C111" s="2">
        <v>11</v>
      </c>
      <c r="D111" s="2"/>
      <c r="E111" s="2">
        <v>3000</v>
      </c>
      <c r="F111" s="2">
        <v>3000</v>
      </c>
      <c r="G111" s="2">
        <v>3000</v>
      </c>
      <c r="H111" s="2" t="s">
        <v>78</v>
      </c>
      <c r="I111" s="2" t="s">
        <v>127</v>
      </c>
      <c r="J111" s="2"/>
      <c r="K111" s="2" t="s">
        <v>80</v>
      </c>
      <c r="L111" s="2" t="s">
        <v>81</v>
      </c>
      <c r="M111" s="2"/>
      <c r="N111" s="2">
        <v>0</v>
      </c>
    </row>
    <row r="112" ht="16.5" spans="1:14">
      <c r="A112" s="2">
        <v>11003</v>
      </c>
      <c r="B112" s="2" t="s">
        <v>218</v>
      </c>
      <c r="C112" s="2">
        <v>11</v>
      </c>
      <c r="D112" s="2"/>
      <c r="E112" s="2">
        <v>19800</v>
      </c>
      <c r="F112" s="2">
        <v>19800</v>
      </c>
      <c r="G112" s="2">
        <v>19800</v>
      </c>
      <c r="H112" s="2" t="s">
        <v>108</v>
      </c>
      <c r="I112" s="2" t="s">
        <v>127</v>
      </c>
      <c r="J112" s="2"/>
      <c r="K112" s="2" t="s">
        <v>219</v>
      </c>
      <c r="L112" s="2" t="s">
        <v>110</v>
      </c>
      <c r="M112" s="2"/>
      <c r="N112" s="2">
        <v>0</v>
      </c>
    </row>
    <row r="113" ht="16.5" spans="1:14">
      <c r="A113" s="2">
        <v>11004</v>
      </c>
      <c r="B113" s="2" t="s">
        <v>220</v>
      </c>
      <c r="C113" s="2">
        <v>11</v>
      </c>
      <c r="D113" s="2"/>
      <c r="E113" s="2">
        <v>3000</v>
      </c>
      <c r="F113" s="2">
        <v>3000</v>
      </c>
      <c r="G113" s="2">
        <v>3000</v>
      </c>
      <c r="H113" s="2" t="s">
        <v>78</v>
      </c>
      <c r="I113" s="2" t="s">
        <v>127</v>
      </c>
      <c r="J113" s="2"/>
      <c r="K113" s="2" t="s">
        <v>80</v>
      </c>
      <c r="L113" s="2" t="s">
        <v>81</v>
      </c>
      <c r="M113" s="2"/>
      <c r="N113" s="2">
        <v>0</v>
      </c>
    </row>
    <row r="114" ht="16.5" spans="1:14">
      <c r="A114" s="2">
        <v>12001</v>
      </c>
      <c r="B114" s="2" t="s">
        <v>221</v>
      </c>
      <c r="C114">
        <v>12</v>
      </c>
      <c r="E114" s="2">
        <v>600</v>
      </c>
      <c r="F114" s="2">
        <v>600</v>
      </c>
      <c r="G114" s="2">
        <v>600</v>
      </c>
      <c r="H114" s="2" t="s">
        <v>42</v>
      </c>
      <c r="I114" t="s">
        <v>127</v>
      </c>
      <c r="L114" s="2" t="s">
        <v>46</v>
      </c>
      <c r="M114" s="2"/>
      <c r="N114" s="2">
        <v>0</v>
      </c>
    </row>
    <row r="115" ht="16.5" spans="1:14">
      <c r="A115" s="2">
        <v>12002</v>
      </c>
      <c r="B115" s="2" t="s">
        <v>222</v>
      </c>
      <c r="C115">
        <v>12</v>
      </c>
      <c r="E115" s="2">
        <v>3000</v>
      </c>
      <c r="F115" s="2">
        <v>3000</v>
      </c>
      <c r="G115" s="2">
        <v>3000</v>
      </c>
      <c r="H115" s="2" t="s">
        <v>78</v>
      </c>
      <c r="I115" s="2" t="s">
        <v>127</v>
      </c>
      <c r="J115" s="2"/>
      <c r="K115" s="2"/>
      <c r="L115" s="2" t="s">
        <v>81</v>
      </c>
      <c r="M115" s="2"/>
      <c r="N115" s="2">
        <v>0</v>
      </c>
    </row>
    <row r="116" ht="16.5" spans="1:14">
      <c r="A116" s="2">
        <v>12003</v>
      </c>
      <c r="B116" s="2" t="s">
        <v>223</v>
      </c>
      <c r="C116">
        <v>12</v>
      </c>
      <c r="E116" s="2">
        <v>6800</v>
      </c>
      <c r="F116" s="2">
        <v>6800</v>
      </c>
      <c r="G116" s="2">
        <v>6800</v>
      </c>
      <c r="H116" s="2" t="s">
        <v>82</v>
      </c>
      <c r="I116" s="2" t="s">
        <v>127</v>
      </c>
      <c r="J116" s="2"/>
      <c r="K116" s="2"/>
      <c r="L116" s="2" t="s">
        <v>85</v>
      </c>
      <c r="M116" s="2"/>
      <c r="N116" s="2">
        <v>0</v>
      </c>
    </row>
    <row r="117" ht="16.5" spans="1:14">
      <c r="A117" s="2">
        <v>12004</v>
      </c>
      <c r="B117" s="2" t="s">
        <v>224</v>
      </c>
      <c r="C117">
        <v>12</v>
      </c>
      <c r="E117" s="2">
        <v>6800</v>
      </c>
      <c r="F117" s="2">
        <v>6800</v>
      </c>
      <c r="G117" s="2">
        <v>6800</v>
      </c>
      <c r="H117" s="2" t="s">
        <v>82</v>
      </c>
      <c r="I117" t="s">
        <v>127</v>
      </c>
      <c r="L117" s="2" t="s">
        <v>85</v>
      </c>
      <c r="M117" s="2"/>
      <c r="N117" s="2">
        <v>0</v>
      </c>
    </row>
    <row r="118" ht="16.5" spans="1:14">
      <c r="A118" s="2">
        <v>12005</v>
      </c>
      <c r="B118" s="2" t="s">
        <v>225</v>
      </c>
      <c r="C118">
        <v>12</v>
      </c>
      <c r="E118" s="2">
        <v>12800</v>
      </c>
      <c r="F118" s="2">
        <v>12800</v>
      </c>
      <c r="G118" s="2">
        <v>12800</v>
      </c>
      <c r="H118" s="2" t="s">
        <v>60</v>
      </c>
      <c r="I118" t="s">
        <v>127</v>
      </c>
      <c r="L118" s="2" t="s">
        <v>87</v>
      </c>
      <c r="M118" s="2"/>
      <c r="N118">
        <v>0</v>
      </c>
    </row>
    <row r="119" ht="16.5" spans="1:14">
      <c r="A119" s="2">
        <v>12006</v>
      </c>
      <c r="B119" s="2" t="s">
        <v>226</v>
      </c>
      <c r="C119">
        <v>12</v>
      </c>
      <c r="E119">
        <v>19800</v>
      </c>
      <c r="F119">
        <v>19800</v>
      </c>
      <c r="G119">
        <v>19800</v>
      </c>
      <c r="H119" s="2" t="s">
        <v>108</v>
      </c>
      <c r="I119" t="s">
        <v>127</v>
      </c>
      <c r="L119" s="2" t="s">
        <v>110</v>
      </c>
      <c r="M119" s="2"/>
      <c r="N119">
        <v>0</v>
      </c>
    </row>
    <row r="120" ht="16.5" spans="1:14">
      <c r="A120" s="2">
        <v>12007</v>
      </c>
      <c r="B120" s="2" t="s">
        <v>227</v>
      </c>
      <c r="C120">
        <v>12</v>
      </c>
      <c r="E120">
        <v>19800</v>
      </c>
      <c r="F120">
        <v>19800</v>
      </c>
      <c r="G120">
        <v>19800</v>
      </c>
      <c r="H120" s="2" t="s">
        <v>108</v>
      </c>
      <c r="I120" t="s">
        <v>127</v>
      </c>
      <c r="L120" s="2" t="s">
        <v>110</v>
      </c>
      <c r="M120" s="2"/>
      <c r="N120">
        <v>0</v>
      </c>
    </row>
    <row r="121" ht="16.5" spans="1:14">
      <c r="A121" s="2">
        <v>12008</v>
      </c>
      <c r="B121" s="2" t="s">
        <v>228</v>
      </c>
      <c r="C121">
        <v>12</v>
      </c>
      <c r="E121" s="2">
        <v>32800</v>
      </c>
      <c r="F121" s="2">
        <v>32800</v>
      </c>
      <c r="G121" s="2">
        <v>32800</v>
      </c>
      <c r="H121" s="2" t="s">
        <v>88</v>
      </c>
      <c r="I121" t="s">
        <v>127</v>
      </c>
      <c r="L121" s="2" t="s">
        <v>91</v>
      </c>
      <c r="M121" s="2"/>
      <c r="N121">
        <v>0</v>
      </c>
    </row>
    <row r="122" ht="16.5" spans="1:14">
      <c r="A122" s="2">
        <v>12009</v>
      </c>
      <c r="B122" s="2" t="s">
        <v>229</v>
      </c>
      <c r="C122">
        <v>12</v>
      </c>
      <c r="E122" s="2">
        <v>64800</v>
      </c>
      <c r="F122" s="2">
        <v>64800</v>
      </c>
      <c r="G122" s="2">
        <v>64800</v>
      </c>
      <c r="H122" s="2" t="s">
        <v>55</v>
      </c>
      <c r="I122" t="s">
        <v>127</v>
      </c>
      <c r="L122" s="2" t="s">
        <v>58</v>
      </c>
      <c r="M122" s="2"/>
      <c r="N122">
        <v>0</v>
      </c>
    </row>
    <row r="123" ht="16.5" spans="1:14">
      <c r="A123" s="2">
        <v>12101</v>
      </c>
      <c r="B123" s="2" t="s">
        <v>230</v>
      </c>
      <c r="C123">
        <v>12</v>
      </c>
      <c r="E123" s="2">
        <v>600</v>
      </c>
      <c r="F123" s="2">
        <v>600</v>
      </c>
      <c r="G123" s="2">
        <v>600</v>
      </c>
      <c r="H123" s="2" t="s">
        <v>42</v>
      </c>
      <c r="I123" t="s">
        <v>127</v>
      </c>
      <c r="L123" s="2" t="s">
        <v>46</v>
      </c>
      <c r="M123" s="2"/>
      <c r="N123" s="2">
        <v>0</v>
      </c>
    </row>
    <row r="124" ht="16.5" spans="1:14">
      <c r="A124" s="2">
        <v>12102</v>
      </c>
      <c r="B124" t="s">
        <v>70</v>
      </c>
      <c r="C124">
        <v>12</v>
      </c>
      <c r="E124" s="2">
        <v>3000</v>
      </c>
      <c r="F124" s="2">
        <v>3000</v>
      </c>
      <c r="G124" s="2">
        <v>3000</v>
      </c>
      <c r="H124" s="2" t="s">
        <v>78</v>
      </c>
      <c r="I124" s="2" t="s">
        <v>127</v>
      </c>
      <c r="J124" s="2"/>
      <c r="K124" s="2"/>
      <c r="L124" s="2" t="s">
        <v>81</v>
      </c>
      <c r="M124" s="2"/>
      <c r="N124" s="2">
        <v>0</v>
      </c>
    </row>
    <row r="125" ht="16.5" spans="1:14">
      <c r="A125" s="2">
        <v>12103</v>
      </c>
      <c r="B125" s="2" t="s">
        <v>231</v>
      </c>
      <c r="C125">
        <v>12</v>
      </c>
      <c r="E125" s="2">
        <v>6800</v>
      </c>
      <c r="F125" s="2">
        <v>6800</v>
      </c>
      <c r="G125" s="2">
        <v>6800</v>
      </c>
      <c r="H125" s="2" t="s">
        <v>82</v>
      </c>
      <c r="I125" t="s">
        <v>127</v>
      </c>
      <c r="L125" s="2" t="s">
        <v>85</v>
      </c>
      <c r="M125" s="2"/>
      <c r="N125" s="2">
        <v>0</v>
      </c>
    </row>
    <row r="126" ht="16.5" spans="1:14">
      <c r="A126" s="2">
        <v>12104</v>
      </c>
      <c r="B126" s="2" t="s">
        <v>232</v>
      </c>
      <c r="C126">
        <v>12</v>
      </c>
      <c r="E126" s="2">
        <v>12800</v>
      </c>
      <c r="F126" s="2">
        <v>12800</v>
      </c>
      <c r="G126" s="2">
        <v>12800</v>
      </c>
      <c r="H126" s="2" t="s">
        <v>60</v>
      </c>
      <c r="I126" t="s">
        <v>127</v>
      </c>
      <c r="L126" s="2" t="s">
        <v>87</v>
      </c>
      <c r="M126" s="2"/>
      <c r="N126">
        <v>0</v>
      </c>
    </row>
    <row r="127" ht="16.5" spans="1:14">
      <c r="A127" s="2">
        <v>12105</v>
      </c>
      <c r="B127" s="2" t="s">
        <v>233</v>
      </c>
      <c r="C127">
        <v>12</v>
      </c>
      <c r="E127">
        <v>19800</v>
      </c>
      <c r="F127">
        <v>19800</v>
      </c>
      <c r="G127">
        <v>19800</v>
      </c>
      <c r="H127" s="2" t="s">
        <v>108</v>
      </c>
      <c r="I127" t="s">
        <v>127</v>
      </c>
      <c r="L127" s="2" t="s">
        <v>110</v>
      </c>
      <c r="M127" s="2"/>
      <c r="N127">
        <v>0</v>
      </c>
    </row>
    <row r="128" ht="16.5" spans="1:14">
      <c r="A128" s="2">
        <v>12106</v>
      </c>
      <c r="B128" s="2" t="s">
        <v>234</v>
      </c>
      <c r="C128">
        <v>12</v>
      </c>
      <c r="E128" s="2">
        <v>32800</v>
      </c>
      <c r="F128" s="2">
        <v>32800</v>
      </c>
      <c r="G128" s="2">
        <v>32800</v>
      </c>
      <c r="H128" s="2" t="s">
        <v>88</v>
      </c>
      <c r="I128" t="s">
        <v>127</v>
      </c>
      <c r="L128" s="2" t="s">
        <v>91</v>
      </c>
      <c r="M128" s="2"/>
      <c r="N128">
        <v>0</v>
      </c>
    </row>
    <row r="129" ht="16.5" spans="1:14">
      <c r="A129" s="2">
        <v>12107</v>
      </c>
      <c r="B129" t="s">
        <v>235</v>
      </c>
      <c r="C129">
        <v>12</v>
      </c>
      <c r="E129" s="2">
        <v>64800</v>
      </c>
      <c r="F129" s="2">
        <v>64800</v>
      </c>
      <c r="G129" s="2">
        <v>64800</v>
      </c>
      <c r="H129" s="2" t="s">
        <v>55</v>
      </c>
      <c r="I129" t="s">
        <v>127</v>
      </c>
      <c r="L129" s="2" t="s">
        <v>58</v>
      </c>
      <c r="M129" s="2"/>
      <c r="N129">
        <v>0</v>
      </c>
    </row>
    <row r="130" ht="16.5" spans="1:14">
      <c r="A130" s="2">
        <v>13001</v>
      </c>
      <c r="B130" s="2" t="s">
        <v>236</v>
      </c>
      <c r="C130">
        <v>13</v>
      </c>
      <c r="D130" s="6">
        <v>1001001</v>
      </c>
      <c r="E130" s="2">
        <v>9800</v>
      </c>
      <c r="F130" s="2">
        <v>9800</v>
      </c>
      <c r="G130" s="2">
        <v>9800</v>
      </c>
      <c r="H130" s="2" t="s">
        <v>131</v>
      </c>
      <c r="I130" t="s">
        <v>127</v>
      </c>
      <c r="K130" s="2" t="s">
        <v>80</v>
      </c>
      <c r="L130" s="2" t="s">
        <v>132</v>
      </c>
      <c r="M130" s="2"/>
      <c r="N130">
        <v>0</v>
      </c>
    </row>
    <row r="131" ht="16.5" spans="1:14">
      <c r="A131" s="2">
        <v>14001</v>
      </c>
      <c r="B131" s="2" t="s">
        <v>237</v>
      </c>
      <c r="C131">
        <v>14</v>
      </c>
      <c r="D131">
        <v>1002001</v>
      </c>
      <c r="E131" s="2">
        <v>6800</v>
      </c>
      <c r="F131" s="2">
        <v>6800</v>
      </c>
      <c r="G131" s="2">
        <v>6800</v>
      </c>
      <c r="H131" s="2" t="s">
        <v>82</v>
      </c>
      <c r="I131" t="s">
        <v>127</v>
      </c>
      <c r="K131" s="2" t="s">
        <v>84</v>
      </c>
      <c r="L131" s="2" t="s">
        <v>85</v>
      </c>
      <c r="M131" s="2"/>
      <c r="N131">
        <v>0</v>
      </c>
    </row>
    <row r="132" ht="16.5" spans="1:14">
      <c r="A132" s="2">
        <v>14002</v>
      </c>
      <c r="B132" s="2" t="s">
        <v>238</v>
      </c>
      <c r="C132">
        <v>14</v>
      </c>
      <c r="D132">
        <v>1002002</v>
      </c>
      <c r="E132" s="2">
        <v>6800</v>
      </c>
      <c r="F132" s="2">
        <v>6800</v>
      </c>
      <c r="G132" s="2">
        <v>6800</v>
      </c>
      <c r="H132" s="2" t="s">
        <v>82</v>
      </c>
      <c r="I132" t="s">
        <v>127</v>
      </c>
      <c r="K132" s="2" t="s">
        <v>84</v>
      </c>
      <c r="L132" s="2" t="s">
        <v>85</v>
      </c>
      <c r="M132" s="2"/>
      <c r="N132">
        <v>0</v>
      </c>
    </row>
    <row r="133" ht="16.5" spans="1:14">
      <c r="A133" s="2">
        <v>14003</v>
      </c>
      <c r="B133" s="2" t="s">
        <v>239</v>
      </c>
      <c r="C133">
        <v>14</v>
      </c>
      <c r="D133">
        <v>1002003</v>
      </c>
      <c r="E133" s="2">
        <v>6800</v>
      </c>
      <c r="F133" s="2">
        <v>6800</v>
      </c>
      <c r="G133" s="2">
        <v>6800</v>
      </c>
      <c r="H133" s="2" t="s">
        <v>82</v>
      </c>
      <c r="I133" t="s">
        <v>127</v>
      </c>
      <c r="K133" s="2" t="s">
        <v>84</v>
      </c>
      <c r="L133" s="2" t="s">
        <v>85</v>
      </c>
      <c r="M133" s="2"/>
      <c r="N133">
        <v>0</v>
      </c>
    </row>
    <row r="134" ht="16.5" spans="1:14">
      <c r="A134" s="2">
        <v>14004</v>
      </c>
      <c r="B134" s="2" t="s">
        <v>240</v>
      </c>
      <c r="C134">
        <v>14</v>
      </c>
      <c r="D134">
        <v>1002004</v>
      </c>
      <c r="E134" s="2">
        <v>6800</v>
      </c>
      <c r="F134" s="2">
        <v>6800</v>
      </c>
      <c r="G134" s="2">
        <v>6800</v>
      </c>
      <c r="H134" s="2" t="s">
        <v>82</v>
      </c>
      <c r="I134" t="s">
        <v>127</v>
      </c>
      <c r="K134" s="2" t="s">
        <v>84</v>
      </c>
      <c r="L134" s="2" t="s">
        <v>85</v>
      </c>
      <c r="M134" s="2"/>
      <c r="N134">
        <v>0</v>
      </c>
    </row>
    <row r="135" ht="16.5" spans="1:14">
      <c r="A135" s="2">
        <v>15001</v>
      </c>
      <c r="B135" s="2" t="s">
        <v>241</v>
      </c>
      <c r="C135">
        <v>5</v>
      </c>
      <c r="E135" s="2">
        <v>100</v>
      </c>
      <c r="F135" s="2">
        <f t="shared" ref="F135:F149" si="0">E135</f>
        <v>100</v>
      </c>
      <c r="G135">
        <f>E135</f>
        <v>100</v>
      </c>
      <c r="H135" s="2" t="str">
        <f>"AA.sss."&amp;E135/100</f>
        <v>AA.sss.1</v>
      </c>
      <c r="I135" s="4" t="s">
        <v>242</v>
      </c>
      <c r="J135" s="2"/>
      <c r="K135" s="2" t="str">
        <f>"7#"&amp;E135/10</f>
        <v>7#10</v>
      </c>
      <c r="L135" s="2" t="str">
        <f t="shared" ref="L135:L149" si="1">E135/100&amp;"元"</f>
        <v>1元</v>
      </c>
      <c r="M135" s="2"/>
      <c r="N135" s="2">
        <v>0</v>
      </c>
    </row>
    <row r="136" ht="16.5" spans="1:14">
      <c r="A136" s="2">
        <v>15002</v>
      </c>
      <c r="B136" s="2" t="s">
        <v>243</v>
      </c>
      <c r="C136">
        <v>5</v>
      </c>
      <c r="E136">
        <v>300</v>
      </c>
      <c r="F136" s="2">
        <f t="shared" si="0"/>
        <v>300</v>
      </c>
      <c r="G136">
        <f t="shared" ref="G136:G148" si="2">E136</f>
        <v>300</v>
      </c>
      <c r="H136" s="2" t="str">
        <f t="shared" ref="H136:H141" si="3">"AA.sss."&amp;E136/100</f>
        <v>AA.sss.3</v>
      </c>
      <c r="I136" s="2" t="s">
        <v>244</v>
      </c>
      <c r="J136" s="2"/>
      <c r="K136" s="2" t="str">
        <f t="shared" ref="K136:K148" si="4">"7#"&amp;E136/10</f>
        <v>7#30</v>
      </c>
      <c r="L136" s="2" t="str">
        <f t="shared" si="1"/>
        <v>3元</v>
      </c>
      <c r="M136" s="2"/>
      <c r="N136" s="2">
        <v>0</v>
      </c>
    </row>
    <row r="137" ht="16.5" spans="1:14">
      <c r="A137" s="2">
        <v>15003</v>
      </c>
      <c r="B137" s="2" t="s">
        <v>245</v>
      </c>
      <c r="C137">
        <v>5</v>
      </c>
      <c r="E137">
        <v>600</v>
      </c>
      <c r="F137" s="2">
        <f t="shared" si="0"/>
        <v>600</v>
      </c>
      <c r="G137">
        <f t="shared" si="2"/>
        <v>600</v>
      </c>
      <c r="H137" s="2" t="str">
        <f t="shared" si="3"/>
        <v>AA.sss.6</v>
      </c>
      <c r="I137" s="2" t="s">
        <v>246</v>
      </c>
      <c r="J137" s="2"/>
      <c r="K137" s="2" t="str">
        <f t="shared" si="4"/>
        <v>7#60</v>
      </c>
      <c r="L137" s="2" t="str">
        <f t="shared" si="1"/>
        <v>6元</v>
      </c>
      <c r="M137" s="2"/>
      <c r="N137" s="2">
        <v>0</v>
      </c>
    </row>
    <row r="138" ht="16.5" spans="1:14">
      <c r="A138" s="2">
        <v>15004</v>
      </c>
      <c r="B138" s="2" t="s">
        <v>247</v>
      </c>
      <c r="C138">
        <v>5</v>
      </c>
      <c r="E138">
        <v>1200</v>
      </c>
      <c r="F138" s="2">
        <f t="shared" si="0"/>
        <v>1200</v>
      </c>
      <c r="G138">
        <f t="shared" si="2"/>
        <v>1200</v>
      </c>
      <c r="H138" s="2" t="str">
        <f t="shared" si="3"/>
        <v>AA.sss.12</v>
      </c>
      <c r="I138" s="2" t="s">
        <v>248</v>
      </c>
      <c r="K138" s="2" t="str">
        <f t="shared" si="4"/>
        <v>7#120</v>
      </c>
      <c r="L138" s="2" t="str">
        <f t="shared" si="1"/>
        <v>12元</v>
      </c>
      <c r="N138" s="2">
        <v>0</v>
      </c>
    </row>
    <row r="139" ht="16.5" spans="1:14">
      <c r="A139" s="2">
        <v>15005</v>
      </c>
      <c r="B139" s="2" t="s">
        <v>249</v>
      </c>
      <c r="C139">
        <v>5</v>
      </c>
      <c r="E139" s="2">
        <v>3000</v>
      </c>
      <c r="F139" s="2">
        <f t="shared" si="0"/>
        <v>3000</v>
      </c>
      <c r="G139">
        <f t="shared" si="2"/>
        <v>3000</v>
      </c>
      <c r="H139" s="2" t="str">
        <f t="shared" si="3"/>
        <v>AA.sss.30</v>
      </c>
      <c r="I139" s="4" t="s">
        <v>250</v>
      </c>
      <c r="J139" s="2"/>
      <c r="K139" s="2" t="str">
        <f t="shared" si="4"/>
        <v>7#300</v>
      </c>
      <c r="L139" s="2" t="str">
        <f t="shared" si="1"/>
        <v>30元</v>
      </c>
      <c r="M139" s="2"/>
      <c r="N139" s="2">
        <v>0</v>
      </c>
    </row>
    <row r="140" ht="16.5" spans="1:14">
      <c r="A140" s="2">
        <v>15006</v>
      </c>
      <c r="B140" s="2" t="s">
        <v>251</v>
      </c>
      <c r="C140">
        <v>5</v>
      </c>
      <c r="E140" s="2">
        <v>6800</v>
      </c>
      <c r="F140" s="2">
        <f t="shared" si="0"/>
        <v>6800</v>
      </c>
      <c r="G140">
        <f t="shared" si="2"/>
        <v>6800</v>
      </c>
      <c r="H140" s="2" t="str">
        <f t="shared" si="3"/>
        <v>AA.sss.68</v>
      </c>
      <c r="I140" s="2" t="s">
        <v>252</v>
      </c>
      <c r="J140" s="2"/>
      <c r="K140" s="2" t="str">
        <f t="shared" si="4"/>
        <v>7#680</v>
      </c>
      <c r="L140" s="2" t="str">
        <f t="shared" si="1"/>
        <v>68元</v>
      </c>
      <c r="M140" s="2"/>
      <c r="N140" s="2">
        <v>0</v>
      </c>
    </row>
    <row r="141" ht="16.5" spans="1:14">
      <c r="A141" s="2">
        <v>15007</v>
      </c>
      <c r="B141" s="2" t="s">
        <v>253</v>
      </c>
      <c r="C141">
        <v>5</v>
      </c>
      <c r="E141" s="2">
        <v>12800</v>
      </c>
      <c r="F141" s="2">
        <f t="shared" si="0"/>
        <v>12800</v>
      </c>
      <c r="G141">
        <f t="shared" si="2"/>
        <v>12800</v>
      </c>
      <c r="H141" s="2" t="str">
        <f t="shared" si="3"/>
        <v>AA.sss.128</v>
      </c>
      <c r="I141" s="2" t="s">
        <v>254</v>
      </c>
      <c r="J141" s="2"/>
      <c r="K141" s="2" t="str">
        <f t="shared" si="4"/>
        <v>7#1280</v>
      </c>
      <c r="L141" s="2" t="str">
        <f t="shared" si="1"/>
        <v>128元</v>
      </c>
      <c r="M141" s="2"/>
      <c r="N141" s="2">
        <v>0</v>
      </c>
    </row>
    <row r="142" ht="16.5" spans="1:14">
      <c r="A142" s="2">
        <v>16001</v>
      </c>
      <c r="B142" s="2" t="s">
        <v>241</v>
      </c>
      <c r="C142">
        <v>5</v>
      </c>
      <c r="E142" s="2">
        <v>600</v>
      </c>
      <c r="F142" s="2">
        <f t="shared" si="0"/>
        <v>600</v>
      </c>
      <c r="G142">
        <f t="shared" si="2"/>
        <v>600</v>
      </c>
      <c r="H142" s="2" t="str">
        <f t="shared" ref="H142:H148" si="5">"AA.sss."&amp;E142/100</f>
        <v>AA.sss.6</v>
      </c>
      <c r="I142" s="2" t="s">
        <v>255</v>
      </c>
      <c r="J142" s="2"/>
      <c r="K142" s="2" t="str">
        <f t="shared" si="4"/>
        <v>7#60</v>
      </c>
      <c r="L142" s="2" t="str">
        <f t="shared" si="1"/>
        <v>6元</v>
      </c>
      <c r="M142" s="2"/>
      <c r="N142" s="2">
        <v>0</v>
      </c>
    </row>
    <row r="143" ht="16.5" spans="1:14">
      <c r="A143" s="2">
        <v>16002</v>
      </c>
      <c r="B143" s="2" t="s">
        <v>256</v>
      </c>
      <c r="C143">
        <v>5</v>
      </c>
      <c r="E143" s="2">
        <v>1200</v>
      </c>
      <c r="F143" s="2">
        <f t="shared" si="0"/>
        <v>1200</v>
      </c>
      <c r="G143">
        <f t="shared" si="2"/>
        <v>1200</v>
      </c>
      <c r="H143" s="2" t="str">
        <f t="shared" si="5"/>
        <v>AA.sss.12</v>
      </c>
      <c r="I143" s="2" t="s">
        <v>257</v>
      </c>
      <c r="K143" s="2" t="str">
        <f t="shared" si="4"/>
        <v>7#120</v>
      </c>
      <c r="L143" s="2" t="str">
        <f t="shared" si="1"/>
        <v>12元</v>
      </c>
      <c r="M143" s="2"/>
      <c r="N143" s="2">
        <v>0</v>
      </c>
    </row>
    <row r="144" ht="16.5" spans="1:14">
      <c r="A144" s="2">
        <v>16003</v>
      </c>
      <c r="B144" s="2" t="s">
        <v>258</v>
      </c>
      <c r="C144">
        <v>5</v>
      </c>
      <c r="E144" s="2">
        <v>1200</v>
      </c>
      <c r="F144" s="2">
        <f t="shared" si="0"/>
        <v>1200</v>
      </c>
      <c r="G144">
        <f t="shared" si="2"/>
        <v>1200</v>
      </c>
      <c r="H144" s="2" t="str">
        <f t="shared" si="5"/>
        <v>AA.sss.12</v>
      </c>
      <c r="I144" s="2" t="s">
        <v>259</v>
      </c>
      <c r="K144" s="2" t="str">
        <f t="shared" si="4"/>
        <v>7#120</v>
      </c>
      <c r="L144" s="2" t="str">
        <f t="shared" si="1"/>
        <v>12元</v>
      </c>
      <c r="M144" s="2"/>
      <c r="N144">
        <v>0</v>
      </c>
    </row>
    <row r="145" ht="16.5" spans="1:14">
      <c r="A145" s="2">
        <v>16004</v>
      </c>
      <c r="B145" s="2" t="s">
        <v>260</v>
      </c>
      <c r="C145">
        <v>5</v>
      </c>
      <c r="E145" s="2">
        <v>3000</v>
      </c>
      <c r="F145" s="2">
        <f t="shared" si="0"/>
        <v>3000</v>
      </c>
      <c r="G145">
        <f t="shared" si="2"/>
        <v>3000</v>
      </c>
      <c r="H145" s="2" t="str">
        <f t="shared" si="5"/>
        <v>AA.sss.30</v>
      </c>
      <c r="I145" s="2" t="s">
        <v>261</v>
      </c>
      <c r="K145" s="2" t="str">
        <f t="shared" si="4"/>
        <v>7#300</v>
      </c>
      <c r="L145" s="2" t="str">
        <f t="shared" si="1"/>
        <v>30元</v>
      </c>
      <c r="M145" s="2"/>
      <c r="N145">
        <v>0</v>
      </c>
    </row>
    <row r="146" ht="16.5" spans="1:14">
      <c r="A146" s="2">
        <v>16005</v>
      </c>
      <c r="B146" s="2" t="s">
        <v>262</v>
      </c>
      <c r="C146">
        <v>5</v>
      </c>
      <c r="E146" s="2">
        <v>6800</v>
      </c>
      <c r="F146" s="2">
        <f t="shared" si="0"/>
        <v>6800</v>
      </c>
      <c r="G146">
        <f t="shared" si="2"/>
        <v>6800</v>
      </c>
      <c r="H146" s="2" t="str">
        <f t="shared" si="5"/>
        <v>AA.sss.68</v>
      </c>
      <c r="I146" s="2" t="s">
        <v>263</v>
      </c>
      <c r="K146" s="2" t="str">
        <f t="shared" si="4"/>
        <v>7#680</v>
      </c>
      <c r="L146" s="2" t="str">
        <f t="shared" si="1"/>
        <v>68元</v>
      </c>
      <c r="M146" s="2"/>
      <c r="N146">
        <v>0</v>
      </c>
    </row>
    <row r="147" ht="16.5" spans="1:14">
      <c r="A147" s="2">
        <v>16006</v>
      </c>
      <c r="B147" s="2" t="s">
        <v>264</v>
      </c>
      <c r="C147">
        <v>5</v>
      </c>
      <c r="E147" s="2">
        <v>12800</v>
      </c>
      <c r="F147" s="2">
        <f t="shared" si="0"/>
        <v>12800</v>
      </c>
      <c r="G147">
        <f t="shared" si="2"/>
        <v>12800</v>
      </c>
      <c r="H147" s="2" t="str">
        <f t="shared" si="5"/>
        <v>AA.sss.128</v>
      </c>
      <c r="I147" s="2" t="s">
        <v>265</v>
      </c>
      <c r="K147" s="2" t="str">
        <f t="shared" si="4"/>
        <v>7#1280</v>
      </c>
      <c r="L147" s="2" t="str">
        <f t="shared" si="1"/>
        <v>128元</v>
      </c>
      <c r="M147" s="2"/>
      <c r="N147">
        <v>0</v>
      </c>
    </row>
    <row r="148" ht="16.5" spans="1:14">
      <c r="A148" s="2">
        <v>16007</v>
      </c>
      <c r="B148" s="2" t="s">
        <v>266</v>
      </c>
      <c r="C148">
        <v>5</v>
      </c>
      <c r="E148" s="2">
        <v>32800</v>
      </c>
      <c r="F148" s="2">
        <f t="shared" si="0"/>
        <v>32800</v>
      </c>
      <c r="G148">
        <f t="shared" si="2"/>
        <v>32800</v>
      </c>
      <c r="H148" s="2" t="str">
        <f t="shared" si="5"/>
        <v>AA.sss.328</v>
      </c>
      <c r="I148" s="2" t="s">
        <v>267</v>
      </c>
      <c r="K148" s="2" t="str">
        <f t="shared" si="4"/>
        <v>7#3280</v>
      </c>
      <c r="L148" s="2" t="str">
        <f t="shared" si="1"/>
        <v>328元</v>
      </c>
      <c r="M148" s="2"/>
      <c r="N148">
        <v>0</v>
      </c>
    </row>
  </sheetData>
  <autoFilter ref="K1:K148">
    <extLst/>
  </autoFilter>
  <conditionalFormatting sqref="A72">
    <cfRule type="duplicateValues" dxfId="0" priority="1"/>
  </conditionalFormatting>
  <conditionalFormatting sqref="A1:A71 A73:A1048576">
    <cfRule type="duplicateValues" dxfId="0" priority="2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2024-07-31T04:09:52Z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254742B801BA4BA4A7F4E496D353D313_12</vt:lpwstr>
  </property>
  <property fmtid="{D5CDD505-2E9C-101B-9397-08002B2CF9AE}" pid="3" name="KSOProductBuildVer">
    <vt:lpwstr>2052-12.1.0.17150</vt:lpwstr>
  </property>
  <property fmtid="{D5CDD505-2E9C-101B-9397-08002B2CF9AE}" pid="4" name="KSOReadingLayout">
    <vt:bool>true</vt:bool>
  </property>
</Properties>
</file>