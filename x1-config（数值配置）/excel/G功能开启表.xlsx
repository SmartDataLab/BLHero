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Sheet1!$H$1:$H$64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功能ID不能改，程序根据这个来判断功能是否开启</t>
        </r>
      </text>
    </comment>
    <comment ref="D5" authorId="0">
      <text>
        <r>
          <rPr>
            <sz val="9"/>
            <rFont val="宋体"/>
            <charset val="134"/>
          </rPr>
          <t>1 角色等级：       1#角色等级
2 主线场景ID：     2#场景ID
3 高级训练营等级： 3#等级
4 开服天数：       4#开服天数
5 通关副本：       5#副本ID
6 接取指定任务：   6#任务ID
7 完成指定任务：   7#任务ID</t>
        </r>
      </text>
    </comment>
    <comment ref="F5" authorId="1">
      <text>
        <r>
          <rPr>
            <b/>
            <sz val="9"/>
            <rFont val="宋体"/>
            <charset val="134"/>
          </rPr>
          <t>0不隐藏
1隐藏</t>
        </r>
      </text>
    </comment>
    <comment ref="H5" authorId="1">
      <text>
        <r>
          <rPr>
            <b/>
            <sz val="9"/>
            <rFont val="宋体"/>
            <charset val="134"/>
          </rPr>
          <t>1提示
0不提示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用于提审，不能显示充值相关功能的入口
0：不屏蔽
1：屏蔽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若开启的功能为建筑时，需要用到此ID去确认建筑的位置，然后镜头移动过去</t>
        </r>
      </text>
    </comment>
  </commentList>
</comments>
</file>

<file path=xl/sharedStrings.xml><?xml version="1.0" encoding="utf-8"?>
<sst xmlns="http://schemas.openxmlformats.org/spreadsheetml/2006/main" count="250" uniqueCount="197">
  <si>
    <t>#name FunctionOpen</t>
  </si>
  <si>
    <t>#unique id</t>
  </si>
  <si>
    <t>id</t>
  </si>
  <si>
    <t>name</t>
  </si>
  <si>
    <t>enumName</t>
  </si>
  <si>
    <t>openCondition</t>
  </si>
  <si>
    <t>lockRemark</t>
  </si>
  <si>
    <t>lockHidden</t>
  </si>
  <si>
    <t>enterPath</t>
  </si>
  <si>
    <t>openShow</t>
  </si>
  <si>
    <t>hide</t>
  </si>
  <si>
    <t>icon</t>
  </si>
  <si>
    <t>openDescribe</t>
  </si>
  <si>
    <t>npcId</t>
  </si>
  <si>
    <t>clientEnum</t>
  </si>
  <si>
    <t>serverEnum</t>
  </si>
  <si>
    <t>int</t>
  </si>
  <si>
    <t>string</t>
  </si>
  <si>
    <t>keyv[]</t>
  </si>
  <si>
    <t>lang</t>
  </si>
  <si>
    <t>*</t>
  </si>
  <si>
    <t>C</t>
  </si>
  <si>
    <t>-</t>
  </si>
  <si>
    <t>S</t>
  </si>
  <si>
    <t>功能ID</t>
  </si>
  <si>
    <t>功能名称</t>
  </si>
  <si>
    <t>功能枚举名字</t>
  </si>
  <si>
    <t>开启条件</t>
  </si>
  <si>
    <t>未开启描述</t>
  </si>
  <si>
    <t>未开启入口隐藏</t>
  </si>
  <si>
    <t>入口路径</t>
  </si>
  <si>
    <t>开启时是否提示</t>
  </si>
  <si>
    <t>屏蔽充值</t>
  </si>
  <si>
    <t>功能图标</t>
  </si>
  <si>
    <t>开启描述</t>
  </si>
  <si>
    <t>建筑ID</t>
  </si>
  <si>
    <t>客户端枚举</t>
  </si>
  <si>
    <t>服务器枚举</t>
  </si>
  <si>
    <t>背包</t>
  </si>
  <si>
    <t>BAG</t>
  </si>
  <si>
    <t>1#5</t>
  </si>
  <si>
    <t>世界地图</t>
  </si>
  <si>
    <t>WORLD_MAP</t>
  </si>
  <si>
    <t>1#999</t>
  </si>
  <si>
    <t>任务</t>
  </si>
  <si>
    <t>TASK</t>
  </si>
  <si>
    <t>1#1</t>
  </si>
  <si>
    <t>修行</t>
  </si>
  <si>
    <t>CAMP</t>
  </si>
  <si>
    <t>1#20</t>
  </si>
  <si>
    <t>自动战斗，解放双手</t>
  </si>
  <si>
    <t>回城(回归)</t>
  </si>
  <si>
    <t>COME_BACK</t>
  </si>
  <si>
    <t>6#10015</t>
  </si>
  <si>
    <t>快速回城，拒绝长跑</t>
  </si>
  <si>
    <t>设置</t>
  </si>
  <si>
    <t>SETTING</t>
  </si>
  <si>
    <t>日常任务</t>
  </si>
  <si>
    <t>RI_CHANG</t>
  </si>
  <si>
    <t>6#10028</t>
  </si>
  <si>
    <t>每日必做，奖励多多</t>
  </si>
  <si>
    <t>信件</t>
  </si>
  <si>
    <t>MAIL</t>
  </si>
  <si>
    <t>装备</t>
  </si>
  <si>
    <t>PROTECT_GOD</t>
  </si>
  <si>
    <r>
      <rPr>
        <sz val="11"/>
        <color theme="1"/>
        <rFont val="微软雅黑"/>
        <charset val="134"/>
      </rPr>
      <t>6#</t>
    </r>
    <r>
      <rPr>
        <b/>
        <sz val="11"/>
        <color theme="1"/>
        <rFont val="微软雅黑"/>
        <charset val="134"/>
      </rPr>
      <t>10032</t>
    </r>
  </si>
  <si>
    <t>神装加身，全队共享</t>
  </si>
  <si>
    <t>兑换商店</t>
  </si>
  <si>
    <t>EXCHANGE_SHOP</t>
  </si>
  <si>
    <t>6#10016</t>
  </si>
  <si>
    <t>招募</t>
  </si>
  <si>
    <t>PUB</t>
  </si>
  <si>
    <t>伙伴招募，结伴同行</t>
  </si>
  <si>
    <t>日常秘境</t>
  </si>
  <si>
    <t>DUNGEON_ENTRY</t>
  </si>
  <si>
    <t>6#10064</t>
  </si>
  <si>
    <t>秘境探险，获取装备</t>
  </si>
  <si>
    <t>传送法阵</t>
  </si>
  <si>
    <t>MAIN_TOWN_TRANSFER</t>
  </si>
  <si>
    <t>瞬间移动，光速传送</t>
  </si>
  <si>
    <t>神坛</t>
  </si>
  <si>
    <t>TRAINING_CAMP</t>
  </si>
  <si>
    <t>6#10009</t>
  </si>
  <si>
    <t>伙伴系统</t>
  </si>
  <si>
    <t>HERO_HeroManage</t>
  </si>
  <si>
    <t>6#10013</t>
  </si>
  <si>
    <t>伙伴出阵</t>
  </si>
  <si>
    <t>HERO_ARRAY</t>
  </si>
  <si>
    <t>结伴同行，并肩作战</t>
  </si>
  <si>
    <t>钱庄</t>
  </si>
  <si>
    <t>BANK</t>
  </si>
  <si>
    <t>6#10022</t>
  </si>
  <si>
    <t>灵脉</t>
  </si>
  <si>
    <t>MINE_AREA</t>
  </si>
  <si>
    <t>6#10059</t>
  </si>
  <si>
    <t>伐木场</t>
  </si>
  <si>
    <t>LOGGING_CAMP</t>
  </si>
  <si>
    <t>6#10089</t>
  </si>
  <si>
    <t>仓库</t>
  </si>
  <si>
    <t>STORER</t>
  </si>
  <si>
    <t>排行榜</t>
  </si>
  <si>
    <t>RANK</t>
  </si>
  <si>
    <t>1#22</t>
  </si>
  <si>
    <t>奋勇当先，勇争第一</t>
  </si>
  <si>
    <t>日常秘境（废弃）</t>
  </si>
  <si>
    <t>DAILY_DUP</t>
  </si>
  <si>
    <t>通天塔</t>
  </si>
  <si>
    <t>SKY_TOWER</t>
  </si>
  <si>
    <t>6#10054</t>
  </si>
  <si>
    <t>试炼之塔，突破自我</t>
  </si>
  <si>
    <t>人族塔</t>
  </si>
  <si>
    <t>HUMAN_TOWER</t>
  </si>
  <si>
    <t>灵族塔</t>
  </si>
  <si>
    <t>SPRITE_TOWER</t>
  </si>
  <si>
    <t>仙族塔</t>
  </si>
  <si>
    <t>FAIRY_TOWER</t>
  </si>
  <si>
    <t>黄金洞窟</t>
  </si>
  <si>
    <t>GOLDEN_PIG</t>
  </si>
  <si>
    <t>6#10039</t>
  </si>
  <si>
    <t>黄金之地，招财进宝</t>
  </si>
  <si>
    <t>仙殿防卫</t>
  </si>
  <si>
    <t>FAIRYPALACE_DEFEND</t>
  </si>
  <si>
    <t>仙殿防卫，保卫家园</t>
  </si>
  <si>
    <t>炼狱轮回</t>
  </si>
  <si>
    <t>PURGATORY_SAMSARA</t>
  </si>
  <si>
    <t>炼狱之地，鬼怪横行</t>
  </si>
  <si>
    <t>挑战入口</t>
  </si>
  <si>
    <t>CHALLENGE</t>
  </si>
  <si>
    <t>神像商店</t>
  </si>
  <si>
    <t>HERO_SHOP</t>
  </si>
  <si>
    <t>装备商店</t>
  </si>
  <si>
    <t>EQUIP_SHOP</t>
  </si>
  <si>
    <t>炼狱商店</t>
  </si>
  <si>
    <t>PURGATORY_SHOP</t>
  </si>
  <si>
    <t>仙境商店</t>
  </si>
  <si>
    <t>FAIRYPALACE_SHOP</t>
  </si>
  <si>
    <t>辰仙珠商店</t>
  </si>
  <si>
    <t>XIANZHU_SHOP</t>
  </si>
  <si>
    <t>种族装备1</t>
  </si>
  <si>
    <t>ELEMENT_EQUIP1</t>
  </si>
  <si>
    <t>6#10032</t>
  </si>
  <si>
    <t>种族装备2</t>
  </si>
  <si>
    <t>ELEMENT_EQUIP2</t>
  </si>
  <si>
    <t>种族装备3</t>
  </si>
  <si>
    <t>ELEMENT_EQUIP3</t>
  </si>
  <si>
    <t>上阵（废弃）</t>
  </si>
  <si>
    <t>FORMATION</t>
  </si>
  <si>
    <t>珍宝阁入口</t>
  </si>
  <si>
    <t>ZHENBAOGE_ENTRY</t>
  </si>
  <si>
    <t>6#10018</t>
  </si>
  <si>
    <t>各种材料，任君挑选</t>
  </si>
  <si>
    <t>仙玉充值</t>
  </si>
  <si>
    <t>XIANYU_RECHARGE</t>
  </si>
  <si>
    <t>仙玉充值，快速获取</t>
  </si>
  <si>
    <t>特惠礼包</t>
  </si>
  <si>
    <t>TEHUI_RECHARGE</t>
  </si>
  <si>
    <t>1#7</t>
  </si>
  <si>
    <t>特惠礼包-每日礼包</t>
  </si>
  <si>
    <t>MEIZHOU_RECHARGE</t>
  </si>
  <si>
    <t>特惠礼包-每周礼包</t>
  </si>
  <si>
    <t>DINGZHI_RECHARGE</t>
  </si>
  <si>
    <t>首充</t>
  </si>
  <si>
    <t>FIRST_RECHARGE</t>
  </si>
  <si>
    <t>6#10027</t>
  </si>
  <si>
    <t>每日礼包</t>
  </si>
  <si>
    <t>MEIRI_RECHARGE</t>
  </si>
  <si>
    <t>七天登录</t>
  </si>
  <si>
    <t>LOGIN_PACK</t>
  </si>
  <si>
    <t>七天登陆，豪礼赠送</t>
  </si>
  <si>
    <t>签到</t>
  </si>
  <si>
    <t>SIGN_PACK</t>
  </si>
  <si>
    <t>6#10030</t>
  </si>
  <si>
    <t>问卷调查</t>
  </si>
  <si>
    <t>PROBLEM_SURVEY</t>
  </si>
  <si>
    <t>微信群</t>
  </si>
  <si>
    <t>WECHAT_GROUP</t>
  </si>
  <si>
    <t>七日目标</t>
  </si>
  <si>
    <t>SEVEN_DAY_GOAL</t>
  </si>
  <si>
    <t>离线挂机</t>
  </si>
  <si>
    <t>OFFLINE_BENEFITS</t>
  </si>
  <si>
    <t>3#5</t>
  </si>
  <si>
    <t>特权直购</t>
  </si>
  <si>
    <t>PRIVILEGE_NORMAL</t>
  </si>
  <si>
    <t>地图宝箱</t>
  </si>
  <si>
    <t>MAP_TREASURE_BOX</t>
  </si>
  <si>
    <t>VIP特权</t>
  </si>
  <si>
    <t>VIP</t>
  </si>
  <si>
    <t>主城解锁</t>
  </si>
  <si>
    <t>特权卡</t>
  </si>
  <si>
    <t>HWelfarePanel</t>
  </si>
  <si>
    <t>图鉴</t>
  </si>
  <si>
    <t>HANDBOOK</t>
  </si>
  <si>
    <t>6#10048</t>
  </si>
  <si>
    <t>竞技场</t>
  </si>
  <si>
    <t>ARENASCENE</t>
  </si>
  <si>
    <t>1#10</t>
  </si>
  <si>
    <t>高手云集，同台竞技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</si>
</sst>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0" tint="-0.05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3652150028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49" applyFont="1" applyFill="1" applyBorder="1">
      <alignment vertical="center"/>
    </xf>
    <xf numFmtId="0" fontId="4" fillId="0" borderId="0" xfId="0" applyFont="1"/>
    <xf numFmtId="0" fontId="5" fillId="0" borderId="0" xfId="0" applyFont="1"/>
    <xf numFmtId="0" fontId="1" fillId="3" borderId="0" xfId="0" applyFont="1" applyFill="1"/>
    <xf numFmtId="0" fontId="6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2" borderId="2" xfId="49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64"/>
  <sheetViews>
    <sheetView tabSelected="1" workbookViewId="0">
      <pane ySplit="5" topLeftCell="A46" activePane="bottomLeft" state="frozen"/>
      <selection/>
      <selection pane="bottomLeft" activeCell="D64" sqref="D64"/>
    </sheetView>
  </sheetViews>
  <sheetFormatPr defaultColWidth="9" defaultRowHeight="16.5"/>
  <cols>
    <col min="1" max="1" width="22.625" style="3" customWidth="1"/>
    <col min="2" max="2" width="17.375" style="3" customWidth="1"/>
    <col min="3" max="3" width="25.875" style="3" customWidth="1"/>
    <col min="4" max="4" width="20.375" style="3" customWidth="1"/>
    <col min="5" max="5" width="16" style="3" customWidth="1"/>
    <col min="6" max="6" width="15.375" style="3" customWidth="1"/>
    <col min="7" max="7" width="10.625" style="3" customWidth="1"/>
    <col min="8" max="8" width="15.375" style="3" customWidth="1"/>
    <col min="9" max="9" width="8.875" style="3" customWidth="1"/>
    <col min="10" max="10" width="9" style="3"/>
    <col min="11" max="11" width="19.125" style="3" customWidth="1"/>
    <col min="12" max="12" width="9" style="3"/>
    <col min="13" max="13" width="41.625" style="3" customWidth="1"/>
    <col min="14" max="14" width="39.75" style="3" customWidth="1"/>
    <col min="15" max="16384" width="9" style="3"/>
  </cols>
  <sheetData>
    <row r="1" spans="1:14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</row>
    <row r="3" spans="1:14">
      <c r="A3" s="4" t="s">
        <v>16</v>
      </c>
      <c r="B3" s="4" t="s">
        <v>17</v>
      </c>
      <c r="C3" s="4" t="s">
        <v>17</v>
      </c>
      <c r="D3" s="4" t="s">
        <v>18</v>
      </c>
      <c r="E3" s="4" t="s">
        <v>19</v>
      </c>
      <c r="F3" s="4" t="s">
        <v>16</v>
      </c>
      <c r="G3" s="4" t="s">
        <v>17</v>
      </c>
      <c r="H3" s="4" t="s">
        <v>16</v>
      </c>
      <c r="I3" s="4" t="s">
        <v>16</v>
      </c>
      <c r="J3" s="4" t="s">
        <v>17</v>
      </c>
      <c r="K3" s="4" t="s">
        <v>19</v>
      </c>
      <c r="L3" s="4" t="s">
        <v>16</v>
      </c>
      <c r="M3" s="4" t="s">
        <v>17</v>
      </c>
      <c r="N3" s="4" t="s">
        <v>17</v>
      </c>
    </row>
    <row r="4" spans="1:14">
      <c r="A4" s="4" t="s">
        <v>20</v>
      </c>
      <c r="B4" s="4" t="s">
        <v>21</v>
      </c>
      <c r="C4" s="4" t="s">
        <v>22</v>
      </c>
      <c r="D4" s="4" t="s">
        <v>20</v>
      </c>
      <c r="E4" s="4" t="s">
        <v>21</v>
      </c>
      <c r="F4" s="4" t="s">
        <v>21</v>
      </c>
      <c r="G4" s="4" t="s">
        <v>21</v>
      </c>
      <c r="H4" s="4" t="s">
        <v>21</v>
      </c>
      <c r="I4" s="4" t="s">
        <v>23</v>
      </c>
      <c r="J4" s="4" t="s">
        <v>21</v>
      </c>
      <c r="K4" s="4" t="s">
        <v>21</v>
      </c>
      <c r="L4" s="4" t="s">
        <v>21</v>
      </c>
      <c r="M4" s="4" t="s">
        <v>22</v>
      </c>
      <c r="N4" s="4" t="s">
        <v>22</v>
      </c>
    </row>
    <row r="5" spans="1:14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13" t="s">
        <v>36</v>
      </c>
      <c r="N5" s="4" t="s">
        <v>37</v>
      </c>
    </row>
    <row r="6" s="1" customFormat="1" spans="1:14">
      <c r="A6" s="1">
        <v>10001</v>
      </c>
      <c r="B6" s="1" t="s">
        <v>38</v>
      </c>
      <c r="C6" s="1" t="s">
        <v>39</v>
      </c>
      <c r="D6" s="1" t="s">
        <v>40</v>
      </c>
      <c r="F6" s="1">
        <v>0</v>
      </c>
      <c r="H6" s="1">
        <v>0</v>
      </c>
      <c r="I6" s="1">
        <v>0</v>
      </c>
      <c r="M6" s="1" t="str">
        <f>CONCATENATE(C6," = ",A6,", //",B6)</f>
        <v>BAG = 10001, //背包</v>
      </c>
      <c r="N6" s="1" t="str">
        <f>CONCATENATE(C6,"(",A6,",""",B6,"""),")</f>
        <v>BAG(10001,"背包"),</v>
      </c>
    </row>
    <row r="7" s="2" customFormat="1" spans="1:14">
      <c r="A7" s="2">
        <v>10002</v>
      </c>
      <c r="B7" s="2" t="s">
        <v>41</v>
      </c>
      <c r="C7" s="2" t="s">
        <v>42</v>
      </c>
      <c r="D7" s="2" t="s">
        <v>43</v>
      </c>
      <c r="F7" s="2">
        <v>1</v>
      </c>
      <c r="H7" s="2">
        <v>0</v>
      </c>
      <c r="I7" s="2">
        <v>0</v>
      </c>
      <c r="M7" s="2" t="str">
        <f>CONCATENATE(C7," = ",A7,", //",B7)</f>
        <v>WORLD_MAP = 10002, //世界地图</v>
      </c>
      <c r="N7" s="2" t="str">
        <f>CONCATENATE(C7,"(",A7,",""",B7,"""),")</f>
        <v>WORLD_MAP(10002,"世界地图"),</v>
      </c>
    </row>
    <row r="8" s="2" customFormat="1" spans="1:14">
      <c r="A8" s="2">
        <v>10004</v>
      </c>
      <c r="B8" s="2" t="s">
        <v>44</v>
      </c>
      <c r="C8" s="2" t="s">
        <v>45</v>
      </c>
      <c r="D8" s="2" t="s">
        <v>46</v>
      </c>
      <c r="F8" s="2">
        <v>0</v>
      </c>
      <c r="H8" s="2">
        <v>0</v>
      </c>
      <c r="I8" s="2">
        <v>0</v>
      </c>
      <c r="M8" s="2" t="str">
        <f t="shared" ref="M8:M64" si="0">CONCATENATE(C8," = ",A8,", //",B8)</f>
        <v>TASK = 10004, //任务</v>
      </c>
      <c r="N8" s="2" t="str">
        <f t="shared" ref="N8:N64" si="1">CONCATENATE(C8,"(",A8,",""",B8,"""),")</f>
        <v>TASK(10004,"任务"),</v>
      </c>
    </row>
    <row r="9" spans="1:14">
      <c r="A9" s="3">
        <v>10005</v>
      </c>
      <c r="B9" s="3" t="s">
        <v>47</v>
      </c>
      <c r="C9" s="3" t="s">
        <v>48</v>
      </c>
      <c r="D9" s="3" t="s">
        <v>49</v>
      </c>
      <c r="F9" s="3">
        <v>1</v>
      </c>
      <c r="H9" s="3">
        <v>1</v>
      </c>
      <c r="I9" s="3">
        <v>0</v>
      </c>
      <c r="K9" s="3" t="s">
        <v>50</v>
      </c>
      <c r="M9" s="3" t="str">
        <f t="shared" si="0"/>
        <v>CAMP = 10005, //修行</v>
      </c>
      <c r="N9" s="3" t="str">
        <f t="shared" si="1"/>
        <v>CAMP(10005,"修行"),</v>
      </c>
    </row>
    <row r="10" spans="1:14">
      <c r="A10" s="3">
        <v>10006</v>
      </c>
      <c r="B10" s="5" t="s">
        <v>51</v>
      </c>
      <c r="C10" s="3" t="s">
        <v>52</v>
      </c>
      <c r="D10" s="6" t="s">
        <v>53</v>
      </c>
      <c r="F10" s="3">
        <v>1</v>
      </c>
      <c r="H10" s="3">
        <v>1</v>
      </c>
      <c r="I10" s="3">
        <v>0</v>
      </c>
      <c r="K10" s="3" t="s">
        <v>54</v>
      </c>
      <c r="M10" s="3" t="str">
        <f t="shared" si="0"/>
        <v>COME_BACK = 10006, //回城(回归)</v>
      </c>
      <c r="N10" s="3" t="str">
        <f t="shared" si="1"/>
        <v>COME_BACK(10006,"回城(回归)"),</v>
      </c>
    </row>
    <row r="11" spans="1:14">
      <c r="A11" s="3">
        <v>10007</v>
      </c>
      <c r="B11" s="5" t="s">
        <v>55</v>
      </c>
      <c r="C11" s="3" t="s">
        <v>56</v>
      </c>
      <c r="D11" s="3" t="s">
        <v>40</v>
      </c>
      <c r="F11" s="3">
        <v>1</v>
      </c>
      <c r="H11" s="3">
        <v>0</v>
      </c>
      <c r="I11" s="3">
        <v>0</v>
      </c>
      <c r="M11" s="3" t="str">
        <f t="shared" si="0"/>
        <v>SETTING = 10007, //设置</v>
      </c>
      <c r="N11" s="3" t="str">
        <f t="shared" si="1"/>
        <v>SETTING(10007,"设置"),</v>
      </c>
    </row>
    <row r="12" spans="1:14">
      <c r="A12" s="3">
        <v>10008</v>
      </c>
      <c r="B12" s="5" t="s">
        <v>57</v>
      </c>
      <c r="C12" s="3" t="s">
        <v>58</v>
      </c>
      <c r="D12" s="3" t="s">
        <v>59</v>
      </c>
      <c r="F12" s="3">
        <v>1</v>
      </c>
      <c r="H12" s="3">
        <v>1</v>
      </c>
      <c r="I12" s="3">
        <v>0</v>
      </c>
      <c r="K12" s="3" t="s">
        <v>60</v>
      </c>
      <c r="M12" s="3" t="str">
        <f t="shared" si="0"/>
        <v>RI_CHANG = 10008, //日常任务</v>
      </c>
      <c r="N12" s="3" t="str">
        <f t="shared" si="1"/>
        <v>RI_CHANG(10008,"日常任务"),</v>
      </c>
    </row>
    <row r="13" spans="1:14">
      <c r="A13" s="3">
        <v>10009</v>
      </c>
      <c r="B13" s="5" t="s">
        <v>61</v>
      </c>
      <c r="C13" s="3" t="s">
        <v>62</v>
      </c>
      <c r="D13" s="3" t="s">
        <v>40</v>
      </c>
      <c r="F13" s="3">
        <v>1</v>
      </c>
      <c r="H13" s="3">
        <v>0</v>
      </c>
      <c r="I13" s="3">
        <v>0</v>
      </c>
      <c r="M13" s="3" t="str">
        <f t="shared" si="0"/>
        <v>MAIL = 10009, //信件</v>
      </c>
      <c r="N13" s="3" t="str">
        <f t="shared" si="1"/>
        <v>MAIL(10009,"信件"),</v>
      </c>
    </row>
    <row r="14" spans="1:14">
      <c r="A14" s="3">
        <v>10010</v>
      </c>
      <c r="B14" s="3" t="s">
        <v>63</v>
      </c>
      <c r="C14" s="3" t="s">
        <v>64</v>
      </c>
      <c r="D14" s="3" t="s">
        <v>65</v>
      </c>
      <c r="F14" s="3">
        <v>1</v>
      </c>
      <c r="H14" s="3">
        <v>1</v>
      </c>
      <c r="I14" s="3">
        <v>0</v>
      </c>
      <c r="K14" s="3" t="s">
        <v>66</v>
      </c>
      <c r="L14" s="3">
        <v>120</v>
      </c>
      <c r="M14" s="3" t="str">
        <f t="shared" si="0"/>
        <v>PROTECT_GOD = 10010, //装备</v>
      </c>
      <c r="N14" s="3" t="str">
        <f t="shared" si="1"/>
        <v>PROTECT_GOD(10010,"装备"),</v>
      </c>
    </row>
    <row r="15" spans="1:14">
      <c r="A15" s="3">
        <v>10011</v>
      </c>
      <c r="B15" s="3" t="s">
        <v>67</v>
      </c>
      <c r="C15" s="3" t="s">
        <v>68</v>
      </c>
      <c r="D15" s="3" t="s">
        <v>69</v>
      </c>
      <c r="F15" s="3">
        <v>0</v>
      </c>
      <c r="H15" s="3">
        <v>0</v>
      </c>
      <c r="I15" s="3">
        <v>0</v>
      </c>
      <c r="M15" s="3" t="str">
        <f t="shared" si="0"/>
        <v>EXCHANGE_SHOP = 10011, //兑换商店</v>
      </c>
      <c r="N15" s="3" t="str">
        <f t="shared" si="1"/>
        <v>EXCHANGE_SHOP(10011,"兑换商店"),</v>
      </c>
    </row>
    <row r="16" spans="1:14">
      <c r="A16" s="3">
        <v>10012</v>
      </c>
      <c r="B16" s="5" t="s">
        <v>70</v>
      </c>
      <c r="C16" s="3" t="s">
        <v>71</v>
      </c>
      <c r="D16" s="6" t="s">
        <v>69</v>
      </c>
      <c r="F16" s="3">
        <v>0</v>
      </c>
      <c r="H16" s="3">
        <v>0</v>
      </c>
      <c r="I16" s="3">
        <v>0</v>
      </c>
      <c r="K16" s="3" t="s">
        <v>72</v>
      </c>
      <c r="L16" s="3">
        <v>100</v>
      </c>
      <c r="M16" s="3" t="str">
        <f t="shared" si="0"/>
        <v>PUB = 10012, //招募</v>
      </c>
      <c r="N16" s="3" t="str">
        <f t="shared" si="1"/>
        <v>PUB(10012,"招募"),</v>
      </c>
    </row>
    <row r="17" s="1" customFormat="1" spans="1:14">
      <c r="A17" s="1">
        <v>10013</v>
      </c>
      <c r="B17" s="1" t="s">
        <v>73</v>
      </c>
      <c r="C17" s="1" t="s">
        <v>74</v>
      </c>
      <c r="D17" s="7" t="s">
        <v>75</v>
      </c>
      <c r="F17" s="1">
        <v>1</v>
      </c>
      <c r="H17" s="3">
        <v>0</v>
      </c>
      <c r="I17" s="3">
        <v>0</v>
      </c>
      <c r="J17" s="3"/>
      <c r="K17" s="3" t="s">
        <v>76</v>
      </c>
      <c r="L17" s="3">
        <v>600</v>
      </c>
      <c r="M17" s="1" t="str">
        <f t="shared" si="0"/>
        <v>DUNGEON_ENTRY = 10013, //日常秘境</v>
      </c>
      <c r="N17" s="1" t="str">
        <f t="shared" si="1"/>
        <v>DUNGEON_ENTRY(10013,"日常秘境"),</v>
      </c>
    </row>
    <row r="18" spans="1:14">
      <c r="A18" s="3">
        <v>10014</v>
      </c>
      <c r="B18" s="3" t="s">
        <v>77</v>
      </c>
      <c r="C18" s="3" t="s">
        <v>78</v>
      </c>
      <c r="D18" s="3" t="s">
        <v>46</v>
      </c>
      <c r="F18" s="3">
        <v>0</v>
      </c>
      <c r="H18" s="3">
        <v>0</v>
      </c>
      <c r="I18" s="3">
        <v>0</v>
      </c>
      <c r="K18" s="3" t="s">
        <v>79</v>
      </c>
      <c r="M18" s="3" t="str">
        <f t="shared" si="0"/>
        <v>MAIN_TOWN_TRANSFER = 10014, //传送法阵</v>
      </c>
      <c r="N18" s="3" t="str">
        <f t="shared" si="1"/>
        <v>MAIN_TOWN_TRANSFER(10014,"传送法阵"),</v>
      </c>
    </row>
    <row r="19" spans="1:14">
      <c r="A19" s="3">
        <v>10015</v>
      </c>
      <c r="B19" s="5" t="s">
        <v>80</v>
      </c>
      <c r="C19" s="3" t="s">
        <v>81</v>
      </c>
      <c r="D19" s="3" t="s">
        <v>82</v>
      </c>
      <c r="F19" s="3">
        <v>0</v>
      </c>
      <c r="H19" s="3">
        <v>0</v>
      </c>
      <c r="I19" s="3">
        <v>0</v>
      </c>
      <c r="M19" s="3" t="str">
        <f t="shared" si="0"/>
        <v>TRAINING_CAMP = 10015, //神坛</v>
      </c>
      <c r="N19" s="3" t="str">
        <f t="shared" si="1"/>
        <v>TRAINING_CAMP(10015,"神坛"),</v>
      </c>
    </row>
    <row r="20" spans="1:14">
      <c r="A20" s="3">
        <v>10016</v>
      </c>
      <c r="B20" s="3" t="s">
        <v>83</v>
      </c>
      <c r="C20" s="3" t="s">
        <v>84</v>
      </c>
      <c r="D20" s="6" t="s">
        <v>85</v>
      </c>
      <c r="F20" s="3">
        <v>0</v>
      </c>
      <c r="H20" s="3">
        <v>0</v>
      </c>
      <c r="I20" s="3">
        <v>0</v>
      </c>
      <c r="M20" s="3" t="str">
        <f t="shared" si="0"/>
        <v>HERO_HeroManage = 10016, //伙伴系统</v>
      </c>
      <c r="N20" s="3" t="str">
        <f t="shared" si="1"/>
        <v>HERO_HeroManage(10016,"伙伴系统"),</v>
      </c>
    </row>
    <row r="21" spans="1:14">
      <c r="A21" s="3">
        <v>10017</v>
      </c>
      <c r="B21" s="3" t="s">
        <v>86</v>
      </c>
      <c r="C21" s="3" t="s">
        <v>87</v>
      </c>
      <c r="D21" s="6" t="s">
        <v>85</v>
      </c>
      <c r="F21" s="3">
        <v>1</v>
      </c>
      <c r="H21" s="3">
        <v>1</v>
      </c>
      <c r="I21" s="3">
        <v>0</v>
      </c>
      <c r="K21" s="3" t="s">
        <v>88</v>
      </c>
      <c r="M21" s="3" t="str">
        <f t="shared" si="0"/>
        <v>HERO_ARRAY = 10017, //伙伴出阵</v>
      </c>
      <c r="N21" s="3" t="str">
        <f t="shared" si="1"/>
        <v>HERO_ARRAY(10017,"伙伴出阵"),</v>
      </c>
    </row>
    <row r="22" spans="1:14">
      <c r="A22" s="3">
        <v>10019</v>
      </c>
      <c r="B22" s="3" t="s">
        <v>89</v>
      </c>
      <c r="C22" s="3" t="s">
        <v>90</v>
      </c>
      <c r="D22" s="7" t="s">
        <v>91</v>
      </c>
      <c r="F22" s="3">
        <v>0</v>
      </c>
      <c r="H22" s="3">
        <v>0</v>
      </c>
      <c r="I22" s="3">
        <v>0</v>
      </c>
      <c r="M22" s="3" t="str">
        <f t="shared" si="0"/>
        <v>BANK = 10019, //钱庄</v>
      </c>
      <c r="N22" s="3" t="str">
        <f t="shared" si="1"/>
        <v>BANK(10019,"钱庄"),</v>
      </c>
    </row>
    <row r="23" spans="1:14">
      <c r="A23" s="3">
        <v>10020</v>
      </c>
      <c r="B23" s="3" t="s">
        <v>92</v>
      </c>
      <c r="C23" s="3" t="s">
        <v>93</v>
      </c>
      <c r="D23" s="7" t="s">
        <v>94</v>
      </c>
      <c r="F23" s="3">
        <v>0</v>
      </c>
      <c r="H23" s="3">
        <v>0</v>
      </c>
      <c r="I23" s="3">
        <v>0</v>
      </c>
      <c r="M23" s="3" t="str">
        <f t="shared" si="0"/>
        <v>MINE_AREA = 10020, //灵脉</v>
      </c>
      <c r="N23" s="3" t="str">
        <f t="shared" si="1"/>
        <v>MINE_AREA(10020,"灵脉"),</v>
      </c>
    </row>
    <row r="24" spans="1:14">
      <c r="A24" s="3">
        <v>10021</v>
      </c>
      <c r="B24" s="3" t="s">
        <v>95</v>
      </c>
      <c r="C24" s="3" t="s">
        <v>96</v>
      </c>
      <c r="D24" s="7" t="s">
        <v>97</v>
      </c>
      <c r="F24" s="3">
        <v>0</v>
      </c>
      <c r="H24" s="3">
        <v>0</v>
      </c>
      <c r="I24" s="3">
        <v>0</v>
      </c>
      <c r="M24" s="3" t="str">
        <f t="shared" si="0"/>
        <v>LOGGING_CAMP = 10021, //伐木场</v>
      </c>
      <c r="N24" s="3" t="str">
        <f t="shared" si="1"/>
        <v>LOGGING_CAMP(10021,"伐木场"),</v>
      </c>
    </row>
    <row r="25" s="2" customFormat="1" spans="1:14">
      <c r="A25" s="2">
        <v>10022</v>
      </c>
      <c r="B25" s="2" t="s">
        <v>98</v>
      </c>
      <c r="C25" s="2" t="s">
        <v>99</v>
      </c>
      <c r="D25" s="2" t="s">
        <v>46</v>
      </c>
      <c r="F25" s="2">
        <v>0</v>
      </c>
      <c r="H25" s="2">
        <v>0</v>
      </c>
      <c r="I25" s="2">
        <v>0</v>
      </c>
      <c r="M25" s="2" t="str">
        <f t="shared" si="0"/>
        <v>STORER = 10022, //仓库</v>
      </c>
      <c r="N25" s="2" t="str">
        <f t="shared" si="1"/>
        <v>STORER(10022,"仓库"),</v>
      </c>
    </row>
    <row r="26" spans="1:14">
      <c r="A26" s="5">
        <v>10023</v>
      </c>
      <c r="B26" s="3" t="s">
        <v>100</v>
      </c>
      <c r="C26" s="3" t="s">
        <v>101</v>
      </c>
      <c r="D26" s="3" t="s">
        <v>102</v>
      </c>
      <c r="F26" s="3">
        <v>1</v>
      </c>
      <c r="H26" s="3">
        <v>1</v>
      </c>
      <c r="I26" s="3">
        <v>0</v>
      </c>
      <c r="K26" s="3" t="s">
        <v>103</v>
      </c>
      <c r="M26" s="3" t="str">
        <f t="shared" si="0"/>
        <v>RANK = 10023, //排行榜</v>
      </c>
      <c r="N26" s="3" t="str">
        <f t="shared" si="1"/>
        <v>RANK(10023,"排行榜"),</v>
      </c>
    </row>
    <row r="27" s="2" customFormat="1" spans="1:14">
      <c r="A27" s="2">
        <v>10024</v>
      </c>
      <c r="B27" s="2" t="s">
        <v>104</v>
      </c>
      <c r="C27" s="2" t="s">
        <v>105</v>
      </c>
      <c r="D27" s="2" t="s">
        <v>43</v>
      </c>
      <c r="F27" s="2">
        <v>0</v>
      </c>
      <c r="H27" s="2">
        <v>0</v>
      </c>
      <c r="I27" s="2">
        <v>0</v>
      </c>
      <c r="M27" s="2" t="str">
        <f t="shared" si="0"/>
        <v>DAILY_DUP = 10024, //日常秘境（废弃）</v>
      </c>
      <c r="N27" s="2" t="str">
        <f t="shared" si="1"/>
        <v>DAILY_DUP(10024,"日常秘境（废弃）"),</v>
      </c>
    </row>
    <row r="28" spans="1:14">
      <c r="A28" s="3">
        <v>10025</v>
      </c>
      <c r="B28" s="3" t="s">
        <v>106</v>
      </c>
      <c r="C28" s="3" t="s">
        <v>107</v>
      </c>
      <c r="D28" s="3" t="s">
        <v>108</v>
      </c>
      <c r="F28" s="3">
        <v>1</v>
      </c>
      <c r="H28" s="3">
        <v>1</v>
      </c>
      <c r="I28" s="3">
        <v>0</v>
      </c>
      <c r="K28" s="3" t="s">
        <v>109</v>
      </c>
      <c r="M28" s="3" t="str">
        <f t="shared" si="0"/>
        <v>SKY_TOWER = 10025, //通天塔</v>
      </c>
      <c r="N28" s="3" t="str">
        <f t="shared" si="1"/>
        <v>SKY_TOWER(10025,"通天塔"),</v>
      </c>
    </row>
    <row r="29" s="2" customFormat="1" spans="1:14">
      <c r="A29" s="2">
        <v>10026</v>
      </c>
      <c r="B29" s="2" t="s">
        <v>110</v>
      </c>
      <c r="C29" s="2" t="s">
        <v>111</v>
      </c>
      <c r="D29" s="2" t="s">
        <v>43</v>
      </c>
      <c r="F29" s="2">
        <v>1</v>
      </c>
      <c r="H29" s="2">
        <v>0</v>
      </c>
      <c r="I29" s="2">
        <v>0</v>
      </c>
      <c r="M29" s="2" t="str">
        <f t="shared" si="0"/>
        <v>HUMAN_TOWER = 10026, //人族塔</v>
      </c>
      <c r="N29" s="2" t="str">
        <f t="shared" si="1"/>
        <v>HUMAN_TOWER(10026,"人族塔"),</v>
      </c>
    </row>
    <row r="30" s="2" customFormat="1" spans="1:14">
      <c r="A30" s="2">
        <v>10027</v>
      </c>
      <c r="B30" s="2" t="s">
        <v>112</v>
      </c>
      <c r="C30" s="2" t="s">
        <v>113</v>
      </c>
      <c r="D30" s="2" t="s">
        <v>43</v>
      </c>
      <c r="F30" s="2">
        <v>1</v>
      </c>
      <c r="H30" s="2">
        <v>0</v>
      </c>
      <c r="I30" s="2">
        <v>0</v>
      </c>
      <c r="M30" s="2" t="str">
        <f t="shared" si="0"/>
        <v>SPRITE_TOWER = 10027, //灵族塔</v>
      </c>
      <c r="N30" s="2" t="str">
        <f t="shared" si="1"/>
        <v>SPRITE_TOWER(10027,"灵族塔"),</v>
      </c>
    </row>
    <row r="31" s="2" customFormat="1" spans="1:14">
      <c r="A31" s="2">
        <v>10028</v>
      </c>
      <c r="B31" s="2" t="s">
        <v>114</v>
      </c>
      <c r="C31" s="2" t="s">
        <v>115</v>
      </c>
      <c r="D31" s="2" t="s">
        <v>43</v>
      </c>
      <c r="F31" s="2">
        <v>1</v>
      </c>
      <c r="H31" s="2">
        <v>0</v>
      </c>
      <c r="I31" s="2">
        <v>0</v>
      </c>
      <c r="M31" s="2" t="str">
        <f t="shared" si="0"/>
        <v>FAIRY_TOWER = 10028, //仙族塔</v>
      </c>
      <c r="N31" s="2" t="str">
        <f t="shared" si="1"/>
        <v>FAIRY_TOWER(10028,"仙族塔"),</v>
      </c>
    </row>
    <row r="32" spans="1:14">
      <c r="A32" s="3">
        <v>10029</v>
      </c>
      <c r="B32" s="3" t="s">
        <v>116</v>
      </c>
      <c r="C32" s="3" t="s">
        <v>117</v>
      </c>
      <c r="D32" s="3" t="s">
        <v>118</v>
      </c>
      <c r="F32" s="3">
        <v>1</v>
      </c>
      <c r="H32" s="8">
        <v>1</v>
      </c>
      <c r="I32" s="3">
        <v>0</v>
      </c>
      <c r="K32" s="3" t="s">
        <v>119</v>
      </c>
      <c r="M32" s="3" t="str">
        <f t="shared" si="0"/>
        <v>GOLDEN_PIG = 10029, //黄金洞窟</v>
      </c>
      <c r="N32" s="3" t="str">
        <f t="shared" si="1"/>
        <v>GOLDEN_PIG(10029,"黄金洞窟"),</v>
      </c>
    </row>
    <row r="33" s="2" customFormat="1" spans="1:14">
      <c r="A33" s="2">
        <v>10030</v>
      </c>
      <c r="B33" s="2" t="s">
        <v>120</v>
      </c>
      <c r="C33" s="2" t="s">
        <v>121</v>
      </c>
      <c r="D33" s="2" t="s">
        <v>43</v>
      </c>
      <c r="F33" s="2">
        <v>1</v>
      </c>
      <c r="H33" s="2">
        <v>0</v>
      </c>
      <c r="I33" s="2">
        <v>0</v>
      </c>
      <c r="K33" s="2" t="s">
        <v>122</v>
      </c>
      <c r="M33" s="2" t="str">
        <f t="shared" si="0"/>
        <v>FAIRYPALACE_DEFEND = 10030, //仙殿防卫</v>
      </c>
      <c r="N33" s="2" t="str">
        <f t="shared" si="1"/>
        <v>FAIRYPALACE_DEFEND(10030,"仙殿防卫"),</v>
      </c>
    </row>
    <row r="34" s="2" customFormat="1" spans="1:14">
      <c r="A34" s="2">
        <v>10031</v>
      </c>
      <c r="B34" s="2" t="s">
        <v>123</v>
      </c>
      <c r="C34" s="2" t="s">
        <v>124</v>
      </c>
      <c r="D34" s="2" t="s">
        <v>43</v>
      </c>
      <c r="F34" s="2">
        <v>1</v>
      </c>
      <c r="H34" s="2">
        <v>0</v>
      </c>
      <c r="I34" s="2">
        <v>0</v>
      </c>
      <c r="K34" s="2" t="s">
        <v>125</v>
      </c>
      <c r="M34" s="2" t="str">
        <f t="shared" si="0"/>
        <v>PURGATORY_SAMSARA = 10031, //炼狱轮回</v>
      </c>
      <c r="N34" s="2" t="str">
        <f t="shared" si="1"/>
        <v>PURGATORY_SAMSARA(10031,"炼狱轮回"),</v>
      </c>
    </row>
    <row r="35" spans="1:14">
      <c r="A35" s="3">
        <v>10032</v>
      </c>
      <c r="B35" s="3" t="s">
        <v>126</v>
      </c>
      <c r="C35" s="3" t="s">
        <v>127</v>
      </c>
      <c r="D35" s="3" t="s">
        <v>118</v>
      </c>
      <c r="F35" s="3">
        <v>1</v>
      </c>
      <c r="H35" s="3">
        <v>0</v>
      </c>
      <c r="I35" s="3">
        <v>0</v>
      </c>
      <c r="M35" s="3" t="str">
        <f t="shared" si="0"/>
        <v>CHALLENGE = 10032, //挑战入口</v>
      </c>
      <c r="N35" s="3" t="str">
        <f t="shared" si="1"/>
        <v>CHALLENGE(10032,"挑战入口"),</v>
      </c>
    </row>
    <row r="36" spans="1:14">
      <c r="A36" s="3">
        <v>10033</v>
      </c>
      <c r="B36" s="5" t="s">
        <v>128</v>
      </c>
      <c r="C36" s="3" t="s">
        <v>129</v>
      </c>
      <c r="D36" s="3" t="str">
        <f>D16</f>
        <v>6#10016</v>
      </c>
      <c r="F36" s="3">
        <v>0</v>
      </c>
      <c r="H36" s="3">
        <v>0</v>
      </c>
      <c r="I36" s="3">
        <v>0</v>
      </c>
      <c r="M36" s="3" t="str">
        <f t="shared" si="0"/>
        <v>HERO_SHOP = 10033, //神像商店</v>
      </c>
      <c r="N36" s="3" t="str">
        <f t="shared" si="1"/>
        <v>HERO_SHOP(10033,"神像商店"),</v>
      </c>
    </row>
    <row r="37" s="2" customFormat="1" spans="1:14">
      <c r="A37" s="2">
        <v>10034</v>
      </c>
      <c r="B37" s="2" t="s">
        <v>130</v>
      </c>
      <c r="C37" s="2" t="s">
        <v>131</v>
      </c>
      <c r="D37" s="2" t="s">
        <v>43</v>
      </c>
      <c r="F37" s="2">
        <v>0</v>
      </c>
      <c r="H37" s="2">
        <v>0</v>
      </c>
      <c r="I37" s="2">
        <v>0</v>
      </c>
      <c r="M37" s="2" t="str">
        <f t="shared" si="0"/>
        <v>EQUIP_SHOP = 10034, //装备商店</v>
      </c>
      <c r="N37" s="2" t="str">
        <f t="shared" si="1"/>
        <v>EQUIP_SHOP(10034,"装备商店"),</v>
      </c>
    </row>
    <row r="38" s="2" customFormat="1" spans="1:14">
      <c r="A38" s="2">
        <v>10035</v>
      </c>
      <c r="B38" s="2" t="s">
        <v>132</v>
      </c>
      <c r="C38" s="2" t="s">
        <v>133</v>
      </c>
      <c r="D38" s="2" t="s">
        <v>43</v>
      </c>
      <c r="F38" s="2">
        <v>1</v>
      </c>
      <c r="H38" s="2">
        <v>0</v>
      </c>
      <c r="I38" s="2">
        <v>0</v>
      </c>
      <c r="M38" s="2" t="str">
        <f t="shared" si="0"/>
        <v>PURGATORY_SHOP = 10035, //炼狱商店</v>
      </c>
      <c r="N38" s="2" t="str">
        <f t="shared" si="1"/>
        <v>PURGATORY_SHOP(10035,"炼狱商店"),</v>
      </c>
    </row>
    <row r="39" s="2" customFormat="1" spans="1:14">
      <c r="A39" s="2">
        <v>10036</v>
      </c>
      <c r="B39" s="2" t="s">
        <v>134</v>
      </c>
      <c r="C39" s="2" t="s">
        <v>135</v>
      </c>
      <c r="D39" s="2" t="s">
        <v>43</v>
      </c>
      <c r="F39" s="2">
        <v>1</v>
      </c>
      <c r="H39" s="2">
        <v>0</v>
      </c>
      <c r="I39" s="2">
        <v>0</v>
      </c>
      <c r="M39" s="2" t="str">
        <f t="shared" si="0"/>
        <v>FAIRYPALACE_SHOP = 10036, //仙境商店</v>
      </c>
      <c r="N39" s="2" t="str">
        <f t="shared" si="1"/>
        <v>FAIRYPALACE_SHOP(10036,"仙境商店"),</v>
      </c>
    </row>
    <row r="40" s="2" customFormat="1" spans="1:14">
      <c r="A40" s="2">
        <v>10037</v>
      </c>
      <c r="B40" s="2" t="s">
        <v>136</v>
      </c>
      <c r="C40" s="2" t="s">
        <v>137</v>
      </c>
      <c r="D40" s="2" t="s">
        <v>43</v>
      </c>
      <c r="F40" s="2">
        <v>1</v>
      </c>
      <c r="H40" s="2">
        <v>0</v>
      </c>
      <c r="I40" s="2">
        <v>0</v>
      </c>
      <c r="M40" s="2" t="str">
        <f t="shared" si="0"/>
        <v>XIANZHU_SHOP = 10037, //辰仙珠商店</v>
      </c>
      <c r="N40" s="2" t="str">
        <f t="shared" si="1"/>
        <v>XIANZHU_SHOP(10037,"辰仙珠商店"),</v>
      </c>
    </row>
    <row r="41" spans="1:14">
      <c r="A41" s="3">
        <v>10039</v>
      </c>
      <c r="B41" s="3" t="s">
        <v>138</v>
      </c>
      <c r="C41" s="3" t="s">
        <v>139</v>
      </c>
      <c r="D41" s="3" t="s">
        <v>140</v>
      </c>
      <c r="F41" s="3">
        <v>1</v>
      </c>
      <c r="H41" s="3">
        <v>0</v>
      </c>
      <c r="I41" s="3">
        <v>0</v>
      </c>
      <c r="M41" s="3" t="str">
        <f t="shared" si="0"/>
        <v>ELEMENT_EQUIP1 = 10039, //种族装备1</v>
      </c>
      <c r="N41" s="3" t="str">
        <f t="shared" si="1"/>
        <v>ELEMENT_EQUIP1(10039,"种族装备1"),</v>
      </c>
    </row>
    <row r="42" spans="1:14">
      <c r="A42" s="3">
        <v>10040</v>
      </c>
      <c r="B42" s="3" t="s">
        <v>141</v>
      </c>
      <c r="C42" s="3" t="s">
        <v>142</v>
      </c>
      <c r="D42" s="3" t="s">
        <v>140</v>
      </c>
      <c r="F42" s="3">
        <v>1</v>
      </c>
      <c r="H42" s="3">
        <v>0</v>
      </c>
      <c r="I42" s="3">
        <v>0</v>
      </c>
      <c r="M42" s="3" t="str">
        <f t="shared" si="0"/>
        <v>ELEMENT_EQUIP2 = 10040, //种族装备2</v>
      </c>
      <c r="N42" s="3" t="str">
        <f t="shared" si="1"/>
        <v>ELEMENT_EQUIP2(10040,"种族装备2"),</v>
      </c>
    </row>
    <row r="43" spans="1:14">
      <c r="A43" s="3">
        <v>10041</v>
      </c>
      <c r="B43" s="3" t="s">
        <v>143</v>
      </c>
      <c r="C43" s="3" t="s">
        <v>144</v>
      </c>
      <c r="D43" s="3" t="s">
        <v>140</v>
      </c>
      <c r="F43" s="3">
        <v>1</v>
      </c>
      <c r="H43" s="3">
        <v>0</v>
      </c>
      <c r="I43" s="3">
        <v>0</v>
      </c>
      <c r="M43" s="3" t="str">
        <f t="shared" si="0"/>
        <v>ELEMENT_EQUIP3 = 10041, //种族装备3</v>
      </c>
      <c r="N43" s="3" t="str">
        <f t="shared" si="1"/>
        <v>ELEMENT_EQUIP3(10041,"种族装备3"),</v>
      </c>
    </row>
    <row r="44" s="2" customFormat="1" spans="1:14">
      <c r="A44" s="2">
        <v>10042</v>
      </c>
      <c r="B44" s="2" t="s">
        <v>145</v>
      </c>
      <c r="C44" s="2" t="s">
        <v>146</v>
      </c>
      <c r="D44" s="2" t="s">
        <v>43</v>
      </c>
      <c r="F44" s="2">
        <v>1</v>
      </c>
      <c r="H44" s="2">
        <v>0</v>
      </c>
      <c r="I44" s="2">
        <v>0</v>
      </c>
      <c r="M44" s="2" t="str">
        <f t="shared" si="0"/>
        <v>FORMATION = 10042, //上阵（废弃）</v>
      </c>
      <c r="N44" s="2" t="str">
        <f t="shared" si="1"/>
        <v>FORMATION(10042,"上阵（废弃）"),</v>
      </c>
    </row>
    <row r="45" spans="1:14">
      <c r="A45" s="3">
        <v>10043</v>
      </c>
      <c r="B45" s="9" t="s">
        <v>147</v>
      </c>
      <c r="C45" s="3" t="s">
        <v>148</v>
      </c>
      <c r="D45" s="3" t="s">
        <v>149</v>
      </c>
      <c r="F45" s="3">
        <v>1</v>
      </c>
      <c r="H45" s="3">
        <v>1</v>
      </c>
      <c r="I45" s="3">
        <v>1</v>
      </c>
      <c r="K45" s="3" t="s">
        <v>150</v>
      </c>
      <c r="M45" s="3" t="str">
        <f t="shared" si="0"/>
        <v>ZHENBAOGE_ENTRY = 10043, //珍宝阁入口</v>
      </c>
      <c r="N45" s="3" t="str">
        <f t="shared" si="1"/>
        <v>ZHENBAOGE_ENTRY(10043,"珍宝阁入口"),</v>
      </c>
    </row>
    <row r="46" spans="1:14">
      <c r="A46" s="3">
        <v>10044</v>
      </c>
      <c r="B46" s="9" t="s">
        <v>151</v>
      </c>
      <c r="C46" s="3" t="s">
        <v>152</v>
      </c>
      <c r="D46" s="3" t="s">
        <v>149</v>
      </c>
      <c r="F46" s="3">
        <v>1</v>
      </c>
      <c r="H46" s="3">
        <v>0</v>
      </c>
      <c r="I46" s="3">
        <v>1</v>
      </c>
      <c r="K46" s="3" t="s">
        <v>153</v>
      </c>
      <c r="M46" s="3" t="str">
        <f t="shared" si="0"/>
        <v>XIANYU_RECHARGE = 10044, //仙玉充值</v>
      </c>
      <c r="N46" s="3" t="str">
        <f t="shared" si="1"/>
        <v>XIANYU_RECHARGE(10044,"仙玉充值"),</v>
      </c>
    </row>
    <row r="47" spans="1:14">
      <c r="A47" s="3">
        <v>10045</v>
      </c>
      <c r="B47" s="10" t="s">
        <v>154</v>
      </c>
      <c r="C47" s="3" t="s">
        <v>155</v>
      </c>
      <c r="D47" s="3" t="s">
        <v>156</v>
      </c>
      <c r="F47" s="3">
        <v>1</v>
      </c>
      <c r="H47" s="3">
        <v>0</v>
      </c>
      <c r="I47" s="3">
        <v>1</v>
      </c>
      <c r="M47" s="3" t="str">
        <f t="shared" si="0"/>
        <v>TEHUI_RECHARGE = 10045, //特惠礼包</v>
      </c>
      <c r="N47" s="3" t="str">
        <f t="shared" si="1"/>
        <v>TEHUI_RECHARGE(10045,"特惠礼包"),</v>
      </c>
    </row>
    <row r="48" spans="1:14">
      <c r="A48" s="3">
        <v>10046</v>
      </c>
      <c r="B48" s="10" t="s">
        <v>157</v>
      </c>
      <c r="C48" s="3" t="s">
        <v>158</v>
      </c>
      <c r="D48" s="3" t="s">
        <v>156</v>
      </c>
      <c r="F48" s="3">
        <v>1</v>
      </c>
      <c r="H48" s="3">
        <v>0</v>
      </c>
      <c r="I48" s="3">
        <v>1</v>
      </c>
      <c r="M48" s="3" t="str">
        <f t="shared" si="0"/>
        <v>MEIZHOU_RECHARGE = 10046, //特惠礼包-每日礼包</v>
      </c>
      <c r="N48" s="3" t="str">
        <f t="shared" si="1"/>
        <v>MEIZHOU_RECHARGE(10046,"特惠礼包-每日礼包"),</v>
      </c>
    </row>
    <row r="49" spans="1:14">
      <c r="A49" s="3">
        <v>10047</v>
      </c>
      <c r="B49" s="10" t="s">
        <v>159</v>
      </c>
      <c r="C49" s="3" t="s">
        <v>160</v>
      </c>
      <c r="D49" s="3" t="s">
        <v>156</v>
      </c>
      <c r="F49" s="3">
        <v>1</v>
      </c>
      <c r="H49" s="3">
        <v>0</v>
      </c>
      <c r="I49" s="3">
        <v>1</v>
      </c>
      <c r="M49" s="3" t="str">
        <f t="shared" si="0"/>
        <v>DINGZHI_RECHARGE = 10047, //特惠礼包-每周礼包</v>
      </c>
      <c r="N49" s="3" t="str">
        <f t="shared" si="1"/>
        <v>DINGZHI_RECHARGE(10047,"特惠礼包-每周礼包"),</v>
      </c>
    </row>
    <row r="50" spans="1:14">
      <c r="A50" s="3">
        <v>10048</v>
      </c>
      <c r="B50" s="9" t="s">
        <v>161</v>
      </c>
      <c r="C50" s="3" t="s">
        <v>162</v>
      </c>
      <c r="D50" s="6" t="s">
        <v>163</v>
      </c>
      <c r="F50" s="3">
        <v>1</v>
      </c>
      <c r="H50" s="3">
        <v>0</v>
      </c>
      <c r="I50" s="3">
        <v>1</v>
      </c>
      <c r="M50" s="3" t="str">
        <f t="shared" si="0"/>
        <v>FIRST_RECHARGE = 10048, //首充</v>
      </c>
      <c r="N50" s="3" t="str">
        <f t="shared" si="1"/>
        <v>FIRST_RECHARGE(10048,"首充"),</v>
      </c>
    </row>
    <row r="51" spans="1:14">
      <c r="A51" s="3">
        <v>10049</v>
      </c>
      <c r="B51" s="10" t="s">
        <v>164</v>
      </c>
      <c r="C51" s="3" t="s">
        <v>165</v>
      </c>
      <c r="D51" s="3" t="s">
        <v>149</v>
      </c>
      <c r="F51" s="3">
        <v>1</v>
      </c>
      <c r="H51" s="3">
        <v>0</v>
      </c>
      <c r="I51" s="3">
        <v>1</v>
      </c>
      <c r="M51" s="3" t="str">
        <f t="shared" si="0"/>
        <v>MEIRI_RECHARGE = 10049, //每日礼包</v>
      </c>
      <c r="N51" s="3" t="str">
        <f t="shared" si="1"/>
        <v>MEIRI_RECHARGE(10049,"每日礼包"),</v>
      </c>
    </row>
    <row r="52" spans="1:14">
      <c r="A52" s="3">
        <v>10050</v>
      </c>
      <c r="B52" s="11" t="s">
        <v>166</v>
      </c>
      <c r="C52" s="3" t="s">
        <v>167</v>
      </c>
      <c r="D52" s="3" t="s">
        <v>156</v>
      </c>
      <c r="F52" s="3">
        <v>1</v>
      </c>
      <c r="H52" s="3">
        <v>1</v>
      </c>
      <c r="I52" s="3">
        <v>0</v>
      </c>
      <c r="K52" s="3" t="s">
        <v>168</v>
      </c>
      <c r="M52" s="3" t="str">
        <f t="shared" si="0"/>
        <v>LOGIN_PACK = 10050, //七天登录</v>
      </c>
      <c r="N52" s="3" t="str">
        <f t="shared" si="1"/>
        <v>LOGIN_PACK(10050,"七天登录"),</v>
      </c>
    </row>
    <row r="53" spans="1:14">
      <c r="A53" s="3">
        <v>10051</v>
      </c>
      <c r="B53" s="11" t="s">
        <v>169</v>
      </c>
      <c r="C53" s="3" t="s">
        <v>170</v>
      </c>
      <c r="D53" s="6" t="s">
        <v>171</v>
      </c>
      <c r="F53" s="3">
        <v>1</v>
      </c>
      <c r="H53" s="3">
        <v>0</v>
      </c>
      <c r="I53" s="3">
        <v>0</v>
      </c>
      <c r="M53" s="3" t="str">
        <f t="shared" si="0"/>
        <v>SIGN_PACK = 10051, //签到</v>
      </c>
      <c r="N53" s="3" t="str">
        <f t="shared" si="1"/>
        <v>SIGN_PACK(10051,"签到"),</v>
      </c>
    </row>
    <row r="54" s="2" customFormat="1" spans="1:14">
      <c r="A54" s="2">
        <v>10052</v>
      </c>
      <c r="B54" s="2" t="s">
        <v>172</v>
      </c>
      <c r="C54" s="2" t="s">
        <v>173</v>
      </c>
      <c r="D54" s="2" t="s">
        <v>43</v>
      </c>
      <c r="F54" s="2">
        <v>1</v>
      </c>
      <c r="H54" s="2">
        <v>0</v>
      </c>
      <c r="I54" s="2">
        <v>0</v>
      </c>
      <c r="M54" s="2" t="str">
        <f t="shared" si="0"/>
        <v>PROBLEM_SURVEY = 10052, //问卷调查</v>
      </c>
      <c r="N54" s="2" t="str">
        <f t="shared" si="1"/>
        <v>PROBLEM_SURVEY(10052,"问卷调查"),</v>
      </c>
    </row>
    <row r="55" s="2" customFormat="1" spans="1:14">
      <c r="A55" s="2">
        <v>10053</v>
      </c>
      <c r="B55" s="2" t="s">
        <v>174</v>
      </c>
      <c r="C55" s="2" t="s">
        <v>175</v>
      </c>
      <c r="D55" s="2" t="s">
        <v>43</v>
      </c>
      <c r="F55" s="2">
        <v>1</v>
      </c>
      <c r="H55" s="2">
        <v>0</v>
      </c>
      <c r="I55" s="2">
        <v>0</v>
      </c>
      <c r="M55" s="2" t="str">
        <f t="shared" si="0"/>
        <v>WECHAT_GROUP = 10053, //微信群</v>
      </c>
      <c r="N55" s="2" t="str">
        <f t="shared" si="1"/>
        <v>WECHAT_GROUP(10053,"微信群"),</v>
      </c>
    </row>
    <row r="56" spans="1:14">
      <c r="A56" s="3">
        <v>10054</v>
      </c>
      <c r="B56" s="10" t="s">
        <v>176</v>
      </c>
      <c r="C56" s="3" t="s">
        <v>177</v>
      </c>
      <c r="D56" s="3" t="s">
        <v>156</v>
      </c>
      <c r="F56" s="3">
        <v>1</v>
      </c>
      <c r="H56" s="3">
        <v>0</v>
      </c>
      <c r="I56" s="3">
        <v>0</v>
      </c>
      <c r="M56" s="3" t="str">
        <f t="shared" si="0"/>
        <v>SEVEN_DAY_GOAL = 10054, //七日目标</v>
      </c>
      <c r="N56" s="3" t="str">
        <f t="shared" si="1"/>
        <v>SEVEN_DAY_GOAL(10054,"七日目标"),</v>
      </c>
    </row>
    <row r="57" spans="1:14">
      <c r="A57" s="3">
        <v>10055</v>
      </c>
      <c r="B57" s="10" t="s">
        <v>178</v>
      </c>
      <c r="C57" s="3" t="s">
        <v>179</v>
      </c>
      <c r="D57" s="3" t="s">
        <v>180</v>
      </c>
      <c r="F57" s="3">
        <v>1</v>
      </c>
      <c r="H57" s="3">
        <v>0</v>
      </c>
      <c r="I57" s="3">
        <v>0</v>
      </c>
      <c r="M57" s="3" t="str">
        <f t="shared" si="0"/>
        <v>OFFLINE_BENEFITS = 10055, //离线挂机</v>
      </c>
      <c r="N57" s="3" t="str">
        <f t="shared" si="1"/>
        <v>OFFLINE_BENEFITS(10055,"离线挂机"),</v>
      </c>
    </row>
    <row r="58" spans="1:14">
      <c r="A58" s="3">
        <v>10056</v>
      </c>
      <c r="B58" s="3" t="s">
        <v>181</v>
      </c>
      <c r="C58" s="3" t="s">
        <v>182</v>
      </c>
      <c r="D58" s="6" t="s">
        <v>171</v>
      </c>
      <c r="F58" s="3">
        <v>1</v>
      </c>
      <c r="H58" s="3">
        <v>0</v>
      </c>
      <c r="I58" s="3">
        <v>1</v>
      </c>
      <c r="M58" s="3" t="str">
        <f t="shared" si="0"/>
        <v>PRIVILEGE_NORMAL = 10056, //特权直购</v>
      </c>
      <c r="N58" s="3" t="str">
        <f t="shared" si="1"/>
        <v>PRIVILEGE_NORMAL(10056,"特权直购"),</v>
      </c>
    </row>
    <row r="59" spans="1:14">
      <c r="A59" s="3">
        <v>10057</v>
      </c>
      <c r="B59" s="3" t="s">
        <v>183</v>
      </c>
      <c r="C59" s="12" t="s">
        <v>184</v>
      </c>
      <c r="D59" s="3" t="s">
        <v>40</v>
      </c>
      <c r="F59" s="3">
        <v>1</v>
      </c>
      <c r="H59" s="3">
        <v>0</v>
      </c>
      <c r="I59" s="3">
        <v>0</v>
      </c>
      <c r="M59" s="3" t="str">
        <f t="shared" si="0"/>
        <v>MAP_TREASURE_BOX = 10057, //地图宝箱</v>
      </c>
      <c r="N59" s="3" t="str">
        <f t="shared" si="1"/>
        <v>MAP_TREASURE_BOX(10057,"地图宝箱"),</v>
      </c>
    </row>
    <row r="60" s="2" customFormat="1" spans="1:14">
      <c r="A60" s="2">
        <v>10058</v>
      </c>
      <c r="B60" s="2" t="s">
        <v>185</v>
      </c>
      <c r="C60" s="2" t="s">
        <v>186</v>
      </c>
      <c r="D60" s="2" t="s">
        <v>46</v>
      </c>
      <c r="F60" s="2">
        <v>1</v>
      </c>
      <c r="H60" s="2">
        <v>0</v>
      </c>
      <c r="I60" s="2">
        <v>1</v>
      </c>
      <c r="M60" s="2" t="str">
        <f t="shared" si="0"/>
        <v>VIP = 10058, //VIP特权</v>
      </c>
      <c r="N60" s="2" t="str">
        <f t="shared" si="1"/>
        <v>VIP(10058,"VIP特权"),</v>
      </c>
    </row>
    <row r="61" spans="1:14">
      <c r="A61" s="3">
        <v>10059</v>
      </c>
      <c r="B61" s="3" t="s">
        <v>187</v>
      </c>
      <c r="D61" s="3" t="s">
        <v>82</v>
      </c>
      <c r="F61" s="3">
        <v>0</v>
      </c>
      <c r="H61" s="3">
        <v>0</v>
      </c>
      <c r="I61" s="3">
        <v>0</v>
      </c>
      <c r="M61" s="3" t="str">
        <f t="shared" si="0"/>
        <v> = 10059, //主城解锁</v>
      </c>
      <c r="N61" s="3" t="str">
        <f t="shared" si="1"/>
        <v>(10059,"主城解锁"),</v>
      </c>
    </row>
    <row r="62" spans="1:14">
      <c r="A62" s="3">
        <v>10060</v>
      </c>
      <c r="B62" s="3" t="s">
        <v>188</v>
      </c>
      <c r="C62" s="3" t="s">
        <v>189</v>
      </c>
      <c r="D62" s="6" t="s">
        <v>171</v>
      </c>
      <c r="F62" s="3">
        <v>1</v>
      </c>
      <c r="H62" s="3">
        <v>0</v>
      </c>
      <c r="I62" s="3">
        <v>1</v>
      </c>
      <c r="M62" s="3" t="str">
        <f t="shared" si="0"/>
        <v>HWelfarePanel = 10060, //特权卡</v>
      </c>
      <c r="N62" s="3" t="str">
        <f t="shared" si="1"/>
        <v>HWelfarePanel(10060,"特权卡"),</v>
      </c>
    </row>
    <row r="63" spans="1:14">
      <c r="A63" s="3">
        <v>10061</v>
      </c>
      <c r="B63" s="3" t="s">
        <v>190</v>
      </c>
      <c r="C63" s="3" t="s">
        <v>191</v>
      </c>
      <c r="D63" s="3" t="s">
        <v>192</v>
      </c>
      <c r="F63" s="3">
        <v>1</v>
      </c>
      <c r="H63" s="3">
        <v>0</v>
      </c>
      <c r="I63" s="3">
        <v>0</v>
      </c>
      <c r="M63" s="3" t="str">
        <f t="shared" si="0"/>
        <v>HANDBOOK = 10061, //图鉴</v>
      </c>
      <c r="N63" s="3" t="str">
        <f t="shared" si="1"/>
        <v>HANDBOOK(10061,"图鉴"),</v>
      </c>
    </row>
    <row r="64" spans="1:14">
      <c r="A64" s="3">
        <v>10062</v>
      </c>
      <c r="B64" s="3" t="s">
        <v>193</v>
      </c>
      <c r="C64" s="3" t="s">
        <v>194</v>
      </c>
      <c r="D64" s="3" t="s">
        <v>195</v>
      </c>
      <c r="F64" s="3">
        <v>1</v>
      </c>
      <c r="H64" s="3">
        <v>1</v>
      </c>
      <c r="I64" s="3">
        <v>0</v>
      </c>
      <c r="K64" s="3" t="s">
        <v>196</v>
      </c>
      <c r="M64" s="3" t="str">
        <f t="shared" si="0"/>
        <v>ARENASCENE = 10062, //竞技场</v>
      </c>
      <c r="N64" s="3" t="str">
        <f t="shared" si="1"/>
        <v>ARENASCENE(10062,"竞技场"),</v>
      </c>
    </row>
  </sheetData>
  <autoFilter ref="H1:H64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2024-08-12T09:05:12Z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2EB772D396354E56B5B40A5FB81EE9D7_12</vt:lpwstr>
  </property>
  <property fmtid="{D5CDD505-2E9C-101B-9397-08002B2CF9AE}" pid="3" name="KSOProductBuildVer">
    <vt:lpwstr>2052-12.1.0.17150</vt:lpwstr>
  </property>
  <property fmtid="{D5CDD505-2E9C-101B-9397-08002B2CF9AE}" pid="4" name="KSOReadingLayout">
    <vt:bool>true</vt:bool>
  </property>
</Properties>
</file>