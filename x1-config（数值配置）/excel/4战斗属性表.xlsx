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D5" authorId="0">
      <text>
        <r>
          <rPr>
            <b/>
            <sz val="9"/>
            <rFont val="宋体"/>
            <charset val="134"/>
          </rPr>
          <t>运算时/xxx</t>
        </r>
      </text>
    </comment>
    <comment ref="E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客户端显示用
0：不显示
1：基础属性
2：进阶属性
3：特殊属性</t>
        </r>
      </text>
    </comment>
  </commentList>
</comments>
</file>

<file path=xl/sharedStrings.xml><?xml version="1.0" encoding="utf-8"?>
<sst xmlns="http://schemas.openxmlformats.org/spreadsheetml/2006/main" count="174" uniqueCount="145">
  <si>
    <t>#name BattleAttr</t>
  </si>
  <si>
    <t>#unique id</t>
  </si>
  <si>
    <t>#index attrName</t>
  </si>
  <si>
    <t>id</t>
  </si>
  <si>
    <t>name</t>
  </si>
  <si>
    <t>attrName</t>
  </si>
  <si>
    <t>type</t>
  </si>
  <si>
    <t>attrType</t>
  </si>
  <si>
    <t>comment</t>
  </si>
  <si>
    <t>serverEnum</t>
  </si>
  <si>
    <t>icon</t>
  </si>
  <si>
    <t>clientEnum</t>
  </si>
  <si>
    <t>int</t>
  </si>
  <si>
    <t>lang</t>
  </si>
  <si>
    <t>string</t>
  </si>
  <si>
    <t>*</t>
  </si>
  <si>
    <t>-</t>
  </si>
  <si>
    <t>C</t>
  </si>
  <si>
    <t>属性ID</t>
  </si>
  <si>
    <t>属性名字</t>
  </si>
  <si>
    <t>属性字段名</t>
  </si>
  <si>
    <t>运算时/xx</t>
  </si>
  <si>
    <t>属性类型</t>
  </si>
  <si>
    <t>说明</t>
  </si>
  <si>
    <t>服务器枚举</t>
  </si>
  <si>
    <t>属性图标</t>
  </si>
  <si>
    <t>客户端枚举</t>
  </si>
  <si>
    <t>当前血量</t>
  </si>
  <si>
    <t>hp</t>
  </si>
  <si>
    <t>战斗中当前血量≤0时判定角色死亡，不能继续战斗
战斗中显示方式为：当前血量/血量上限</t>
  </si>
  <si>
    <t>生命</t>
  </si>
  <si>
    <t>maxHp</t>
  </si>
  <si>
    <t xml:space="preserve">决定战斗中可承受的伤害上限 </t>
  </si>
  <si>
    <t>攻击</t>
  </si>
  <si>
    <t>atk</t>
  </si>
  <si>
    <t>决定攻击敌人造成的伤害</t>
  </si>
  <si>
    <t>防御</t>
  </si>
  <si>
    <t>def</t>
  </si>
  <si>
    <t>决定受到敌人攻击时可减少的伤害</t>
  </si>
  <si>
    <t>血量加成</t>
  </si>
  <si>
    <t>hpRate</t>
  </si>
  <si>
    <t>决定血量加成百分比</t>
  </si>
  <si>
    <t>攻击加成</t>
  </si>
  <si>
    <t>atkRate</t>
  </si>
  <si>
    <t>决定攻击加成百分比</t>
  </si>
  <si>
    <t>防御加成</t>
  </si>
  <si>
    <t>defRate</t>
  </si>
  <si>
    <t>决定防御加成百分比</t>
  </si>
  <si>
    <t>伤害加成</t>
  </si>
  <si>
    <t>dmgRate</t>
  </si>
  <si>
    <t>决定战斗伤害加成百分比</t>
  </si>
  <si>
    <t>命中</t>
  </si>
  <si>
    <t>hit</t>
  </si>
  <si>
    <t>决定攻击的命中几率。</t>
  </si>
  <si>
    <t>闪避</t>
  </si>
  <si>
    <t>dodge</t>
  </si>
  <si>
    <t>决定躲避攻击的几率。</t>
  </si>
  <si>
    <t>暴击</t>
  </si>
  <si>
    <t>crit</t>
  </si>
  <si>
    <t>决定暴击的几率。</t>
  </si>
  <si>
    <t>暴击伤害</t>
  </si>
  <si>
    <t>critDmgRate</t>
  </si>
  <si>
    <t>决定暴击伤害加成百分比</t>
  </si>
  <si>
    <t>吸血</t>
  </si>
  <si>
    <t>vampireRate</t>
  </si>
  <si>
    <t>决定最终伤害吸血百分比</t>
  </si>
  <si>
    <t>减伤固定值</t>
  </si>
  <si>
    <t>reduceDmg</t>
  </si>
  <si>
    <t>最终伤害减少的固定值</t>
  </si>
  <si>
    <t>伤害减免</t>
  </si>
  <si>
    <t>reduceDmgRate</t>
  </si>
  <si>
    <t>伤害减免百分比</t>
  </si>
  <si>
    <t>冷却时间</t>
  </si>
  <si>
    <t>cdSpdRate</t>
  </si>
  <si>
    <t>冷却时间减少百分比</t>
  </si>
  <si>
    <t>移动速度</t>
  </si>
  <si>
    <t>moveSpd</t>
  </si>
  <si>
    <t>影响初始移动速度(x像素/200ms)</t>
  </si>
  <si>
    <t>移动速度加成</t>
  </si>
  <si>
    <t>moveSpdRate</t>
  </si>
  <si>
    <t>移动速度加成百分比</t>
  </si>
  <si>
    <t>攻击速度</t>
  </si>
  <si>
    <t>atkSpd</t>
  </si>
  <si>
    <t>影响英雄出手速度</t>
  </si>
  <si>
    <t>攻击速度加成</t>
  </si>
  <si>
    <t>atkSpdRate</t>
  </si>
  <si>
    <t>攻击速度加成百分比</t>
  </si>
  <si>
    <t>技能伤害加成</t>
  </si>
  <si>
    <t>dmgbl</t>
  </si>
  <si>
    <t>战斗中计算技能伤害或者治疗量时的比例系数，调用%</t>
  </si>
  <si>
    <t>增伤固定值</t>
  </si>
  <si>
    <t>dmg</t>
  </si>
  <si>
    <t>最终伤害增加的固定值</t>
  </si>
  <si>
    <t>人族生命加成</t>
  </si>
  <si>
    <t>llmaxRate</t>
  </si>
  <si>
    <t>上阵英雄有效</t>
  </si>
  <si>
    <t>人族伤害加成</t>
  </si>
  <si>
    <t>lldmgRate</t>
  </si>
  <si>
    <t>灵族生命加成</t>
  </si>
  <si>
    <t>mjmaxRate</t>
  </si>
  <si>
    <t>灵族伤害加成</t>
  </si>
  <si>
    <t>mjdmgRate</t>
  </si>
  <si>
    <t>仙族生命加成</t>
  </si>
  <si>
    <t>zlmaxRate</t>
  </si>
  <si>
    <t>仙族伤害加成</t>
  </si>
  <si>
    <t>zldmgRate</t>
  </si>
  <si>
    <t>伐木伤害</t>
  </si>
  <si>
    <t>woodDmg</t>
  </si>
  <si>
    <t>对树木的伤害</t>
  </si>
  <si>
    <t>挖矿伤害</t>
  </si>
  <si>
    <t>mineDmg</t>
  </si>
  <si>
    <t>对矿石的伤害</t>
  </si>
  <si>
    <t>人族生命固定值</t>
  </si>
  <si>
    <t>llmax</t>
  </si>
  <si>
    <t>人族攻击固定值</t>
  </si>
  <si>
    <t>lldmg</t>
  </si>
  <si>
    <t>灵族生命固定值</t>
  </si>
  <si>
    <t>mjmax</t>
  </si>
  <si>
    <t>灵族攻击固定值</t>
  </si>
  <si>
    <t>mjdmg</t>
  </si>
  <si>
    <t>仙族生命固定值</t>
  </si>
  <si>
    <t>zlmax</t>
  </si>
  <si>
    <t>仙族攻击固定值</t>
  </si>
  <si>
    <t>zldmg</t>
  </si>
  <si>
    <t>进战范围</t>
  </si>
  <si>
    <t>battleRange</t>
  </si>
  <si>
    <t>人族伙伴对怪物伤害加成</t>
  </si>
  <si>
    <t>llpvedmg</t>
  </si>
  <si>
    <t>所有伙伴有效</t>
  </si>
  <si>
    <t>灵族伙伴对怪物伤害加成</t>
  </si>
  <si>
    <t>mjpvedmg</t>
  </si>
  <si>
    <t>仙族伙伴对怪物伤害加成</t>
  </si>
  <si>
    <t>zlpvedmg</t>
  </si>
  <si>
    <t>对怪物伤害加成</t>
  </si>
  <si>
    <t>pvedmg</t>
  </si>
  <si>
    <t>视野范围</t>
  </si>
  <si>
    <t>fovRange</t>
  </si>
  <si>
    <t>英雄的视野范围</t>
  </si>
  <si>
    <t>暴击抵抗</t>
  </si>
  <si>
    <t>reducecrit</t>
  </si>
  <si>
    <t>暴击抵抗百分比</t>
  </si>
  <si>
    <t>某养成系统内基础生命加成</t>
  </si>
  <si>
    <t>hpBrate</t>
  </si>
  <si>
    <t>某养成系统内基础攻击加成</t>
  </si>
  <si>
    <t>atkBrate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</si>
</sst>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6704000976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4">
    <xf numFmtId="0" fontId="0" fillId="0" borderId="0" xfId="0"/>
    <xf numFmtId="0" fontId="0" fillId="0" borderId="0" xfId="0" applyAlignment="1"/>
    <xf numFmtId="0" fontId="1" fillId="2" borderId="1" xfId="49" applyFont="1" applyFill="1" applyBorder="1" applyAlignment="1">
      <alignment vertical="center"/>
    </xf>
    <xf numFmtId="0" fontId="1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selection activeCell="E42" sqref="E42"/>
    </sheetView>
  </sheetViews>
  <sheetFormatPr defaultColWidth="9" defaultRowHeight="14.25"/>
  <cols>
    <col min="1" max="1" width="15.125" style="1" customWidth="1"/>
    <col min="2" max="2" width="22.25" style="1" customWidth="1"/>
    <col min="3" max="3" width="15" style="1" customWidth="1"/>
    <col min="4" max="5" width="8.875" style="1" customWidth="1"/>
    <col min="6" max="6" width="72.375" style="1" customWidth="1"/>
    <col min="7" max="7" width="36.375" style="1" customWidth="1"/>
    <col min="8" max="8" width="9" style="1"/>
    <col min="9" max="9" width="37.25" style="1" customWidth="1"/>
    <col min="10" max="16384" width="9" style="1"/>
  </cols>
  <sheetData>
    <row r="1" ht="16.5" spans="1:9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</row>
    <row r="2" ht="16.5" spans="1:9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</row>
    <row r="3" ht="16.5" spans="1:9">
      <c r="A3" s="2" t="s">
        <v>12</v>
      </c>
      <c r="B3" s="2" t="s">
        <v>13</v>
      </c>
      <c r="C3" s="2" t="s">
        <v>14</v>
      </c>
      <c r="D3" s="2" t="s">
        <v>12</v>
      </c>
      <c r="E3" s="2" t="s">
        <v>12</v>
      </c>
      <c r="F3" s="2" t="s">
        <v>13</v>
      </c>
      <c r="G3" s="2" t="s">
        <v>14</v>
      </c>
      <c r="H3" s="2" t="s">
        <v>12</v>
      </c>
      <c r="I3" s="2" t="s">
        <v>14</v>
      </c>
    </row>
    <row r="4" ht="16.5" spans="1:9">
      <c r="A4" s="2" t="s">
        <v>15</v>
      </c>
      <c r="B4" s="2" t="s">
        <v>16</v>
      </c>
      <c r="C4" s="2" t="s">
        <v>15</v>
      </c>
      <c r="D4" s="2" t="s">
        <v>15</v>
      </c>
      <c r="E4" s="2" t="s">
        <v>17</v>
      </c>
      <c r="F4" s="2" t="s">
        <v>16</v>
      </c>
      <c r="G4" s="2" t="s">
        <v>16</v>
      </c>
      <c r="H4" s="2" t="s">
        <v>17</v>
      </c>
      <c r="I4" s="2" t="s">
        <v>16</v>
      </c>
    </row>
    <row r="5" ht="16.5" spans="1:9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</row>
    <row r="6" ht="16.5" spans="1:9">
      <c r="A6" s="3">
        <v>201</v>
      </c>
      <c r="B6" s="3" t="s">
        <v>27</v>
      </c>
      <c r="C6" s="3" t="s">
        <v>28</v>
      </c>
      <c r="D6" s="3">
        <v>1</v>
      </c>
      <c r="E6" s="3">
        <v>0</v>
      </c>
      <c r="F6" s="3" t="s">
        <v>29</v>
      </c>
      <c r="G6" s="3" t="str">
        <f>CONCATENATE(C6,"(",A6,",","""",B6,"""),")</f>
        <v>hp(201,"当前血量"),</v>
      </c>
      <c r="H6" s="3"/>
      <c r="I6" s="3" t="str">
        <f>CONCATENATE(C6," = ",A6,",//",B6)</f>
        <v>hp = 201,//当前血量</v>
      </c>
    </row>
    <row r="7" ht="16.5" spans="1:9">
      <c r="A7" s="3">
        <v>202</v>
      </c>
      <c r="B7" s="3" t="s">
        <v>30</v>
      </c>
      <c r="C7" s="3" t="s">
        <v>31</v>
      </c>
      <c r="D7" s="3">
        <v>1</v>
      </c>
      <c r="E7" s="3">
        <v>1</v>
      </c>
      <c r="F7" s="3" t="s">
        <v>32</v>
      </c>
      <c r="G7" s="3" t="str">
        <f t="shared" ref="G7:G50" si="0">CONCATENATE(C7,"(",A7,",","""",B7,"""),")</f>
        <v>maxHp(202,"生命"),</v>
      </c>
      <c r="H7" s="3">
        <v>202</v>
      </c>
      <c r="I7" s="3" t="str">
        <f t="shared" ref="I7:I50" si="1">CONCATENATE(C7," = ",A7,",//",B7)</f>
        <v>maxHp = 202,//生命</v>
      </c>
    </row>
    <row r="8" ht="16.5" spans="1:9">
      <c r="A8" s="3">
        <v>203</v>
      </c>
      <c r="B8" s="3" t="s">
        <v>33</v>
      </c>
      <c r="C8" s="3" t="s">
        <v>34</v>
      </c>
      <c r="D8" s="3">
        <v>1</v>
      </c>
      <c r="E8" s="3">
        <v>1</v>
      </c>
      <c r="F8" s="3" t="s">
        <v>35</v>
      </c>
      <c r="G8" s="3" t="str">
        <f t="shared" si="0"/>
        <v>atk(203,"攻击"),</v>
      </c>
      <c r="H8" s="3">
        <v>203</v>
      </c>
      <c r="I8" s="3" t="str">
        <f t="shared" si="1"/>
        <v>atk = 203,//攻击</v>
      </c>
    </row>
    <row r="9" ht="16.5" spans="1:9">
      <c r="A9" s="3">
        <v>204</v>
      </c>
      <c r="B9" s="3" t="s">
        <v>36</v>
      </c>
      <c r="C9" s="3" t="s">
        <v>37</v>
      </c>
      <c r="D9" s="3">
        <v>1</v>
      </c>
      <c r="E9" s="3">
        <v>1</v>
      </c>
      <c r="F9" s="3" t="s">
        <v>38</v>
      </c>
      <c r="G9" s="3" t="str">
        <f t="shared" si="0"/>
        <v>def(204,"防御"),</v>
      </c>
      <c r="H9" s="3"/>
      <c r="I9" s="3" t="str">
        <f t="shared" si="1"/>
        <v>def = 204,//防御</v>
      </c>
    </row>
    <row r="10" ht="16.5" spans="1:9">
      <c r="A10" s="3">
        <v>205</v>
      </c>
      <c r="B10" s="3" t="s">
        <v>39</v>
      </c>
      <c r="C10" s="3" t="s">
        <v>40</v>
      </c>
      <c r="D10" s="3">
        <v>10000</v>
      </c>
      <c r="E10" s="3">
        <v>2</v>
      </c>
      <c r="F10" s="3" t="s">
        <v>41</v>
      </c>
      <c r="G10" s="3" t="str">
        <f t="shared" si="0"/>
        <v>hpRate(205,"血量加成"),</v>
      </c>
      <c r="H10" s="3">
        <v>205</v>
      </c>
      <c r="I10" s="3" t="str">
        <f t="shared" si="1"/>
        <v>hpRate = 205,//血量加成</v>
      </c>
    </row>
    <row r="11" ht="16.5" spans="1:9">
      <c r="A11" s="3">
        <v>206</v>
      </c>
      <c r="B11" s="3" t="s">
        <v>42</v>
      </c>
      <c r="C11" s="3" t="s">
        <v>43</v>
      </c>
      <c r="D11" s="3">
        <v>10000</v>
      </c>
      <c r="E11" s="3">
        <v>2</v>
      </c>
      <c r="F11" s="3" t="s">
        <v>44</v>
      </c>
      <c r="G11" s="3" t="str">
        <f t="shared" si="0"/>
        <v>atkRate(206,"攻击加成"),</v>
      </c>
      <c r="H11" s="3">
        <v>206</v>
      </c>
      <c r="I11" s="3" t="str">
        <f t="shared" si="1"/>
        <v>atkRate = 206,//攻击加成</v>
      </c>
    </row>
    <row r="12" ht="16.5" spans="1:9">
      <c r="A12" s="3">
        <v>207</v>
      </c>
      <c r="B12" s="3" t="s">
        <v>45</v>
      </c>
      <c r="C12" s="3" t="s">
        <v>46</v>
      </c>
      <c r="D12" s="3">
        <v>10000</v>
      </c>
      <c r="E12" s="3">
        <v>2</v>
      </c>
      <c r="F12" s="3" t="s">
        <v>47</v>
      </c>
      <c r="G12" s="3" t="str">
        <f t="shared" si="0"/>
        <v>defRate(207,"防御加成"),</v>
      </c>
      <c r="H12" s="3"/>
      <c r="I12" s="3" t="str">
        <f t="shared" si="1"/>
        <v>defRate = 207,//防御加成</v>
      </c>
    </row>
    <row r="13" ht="16.5" spans="1:9">
      <c r="A13" s="3">
        <v>208</v>
      </c>
      <c r="B13" s="3" t="s">
        <v>48</v>
      </c>
      <c r="C13" s="3" t="s">
        <v>49</v>
      </c>
      <c r="D13" s="3">
        <v>10000</v>
      </c>
      <c r="E13" s="3">
        <v>2</v>
      </c>
      <c r="F13" s="3" t="s">
        <v>50</v>
      </c>
      <c r="G13" s="3" t="str">
        <f t="shared" si="0"/>
        <v>dmgRate(208,"伤害加成"),</v>
      </c>
      <c r="H13" s="3">
        <v>208</v>
      </c>
      <c r="I13" s="3" t="str">
        <f t="shared" si="1"/>
        <v>dmgRate = 208,//伤害加成</v>
      </c>
    </row>
    <row r="14" ht="16.5" spans="1:9">
      <c r="A14" s="3">
        <v>209</v>
      </c>
      <c r="B14" s="3" t="s">
        <v>51</v>
      </c>
      <c r="C14" s="3" t="s">
        <v>52</v>
      </c>
      <c r="D14" s="3">
        <v>10000</v>
      </c>
      <c r="E14" s="3">
        <v>2</v>
      </c>
      <c r="F14" s="3" t="s">
        <v>53</v>
      </c>
      <c r="G14" s="3" t="str">
        <f t="shared" si="0"/>
        <v>hit(209,"命中"),</v>
      </c>
      <c r="H14" s="3"/>
      <c r="I14" s="3" t="str">
        <f t="shared" si="1"/>
        <v>hit = 209,//命中</v>
      </c>
    </row>
    <row r="15" ht="16.5" spans="1:9">
      <c r="A15" s="3">
        <v>210</v>
      </c>
      <c r="B15" s="3" t="s">
        <v>54</v>
      </c>
      <c r="C15" s="3" t="s">
        <v>55</v>
      </c>
      <c r="D15" s="3">
        <v>10000</v>
      </c>
      <c r="E15" s="3">
        <v>2</v>
      </c>
      <c r="F15" s="3" t="s">
        <v>56</v>
      </c>
      <c r="G15" s="3" t="str">
        <f t="shared" si="0"/>
        <v>dodge(210,"闪避"),</v>
      </c>
      <c r="H15" s="3"/>
      <c r="I15" s="3" t="str">
        <f t="shared" si="1"/>
        <v>dodge = 210,//闪避</v>
      </c>
    </row>
    <row r="16" ht="16.5" spans="1:9">
      <c r="A16" s="3">
        <v>211</v>
      </c>
      <c r="B16" s="3" t="s">
        <v>57</v>
      </c>
      <c r="C16" s="3" t="s">
        <v>58</v>
      </c>
      <c r="D16" s="3">
        <v>10000</v>
      </c>
      <c r="E16" s="3">
        <v>2</v>
      </c>
      <c r="F16" s="3" t="s">
        <v>59</v>
      </c>
      <c r="G16" s="3" t="str">
        <f t="shared" si="0"/>
        <v>crit(211,"暴击"),</v>
      </c>
      <c r="H16" s="3"/>
      <c r="I16" s="3" t="str">
        <f t="shared" si="1"/>
        <v>crit = 211,//暴击</v>
      </c>
    </row>
    <row r="17" ht="16.5" spans="1:9">
      <c r="A17" s="3">
        <v>212</v>
      </c>
      <c r="B17" s="3" t="s">
        <v>60</v>
      </c>
      <c r="C17" s="3" t="s">
        <v>61</v>
      </c>
      <c r="D17" s="3">
        <v>10000</v>
      </c>
      <c r="E17" s="3">
        <v>2</v>
      </c>
      <c r="F17" s="3" t="s">
        <v>62</v>
      </c>
      <c r="G17" s="3" t="str">
        <f t="shared" si="0"/>
        <v>critDmgRate(212,"暴击伤害"),</v>
      </c>
      <c r="H17" s="3"/>
      <c r="I17" s="3" t="str">
        <f t="shared" si="1"/>
        <v>critDmgRate = 212,//暴击伤害</v>
      </c>
    </row>
    <row r="18" ht="16.5" spans="1:9">
      <c r="A18" s="3">
        <v>213</v>
      </c>
      <c r="B18" s="3" t="s">
        <v>63</v>
      </c>
      <c r="C18" s="3" t="s">
        <v>64</v>
      </c>
      <c r="D18" s="3">
        <v>10000</v>
      </c>
      <c r="E18" s="3">
        <v>2</v>
      </c>
      <c r="F18" s="3" t="s">
        <v>65</v>
      </c>
      <c r="G18" s="3" t="str">
        <f t="shared" si="0"/>
        <v>vampireRate(213,"吸血"),</v>
      </c>
      <c r="H18" s="3"/>
      <c r="I18" s="3" t="str">
        <f t="shared" si="1"/>
        <v>vampireRate = 213,//吸血</v>
      </c>
    </row>
    <row r="19" ht="16.5" spans="1:9">
      <c r="A19" s="3">
        <v>214</v>
      </c>
      <c r="B19" s="3" t="s">
        <v>66</v>
      </c>
      <c r="C19" s="3" t="s">
        <v>67</v>
      </c>
      <c r="D19" s="3">
        <v>1</v>
      </c>
      <c r="E19" s="3">
        <v>3</v>
      </c>
      <c r="F19" s="3" t="s">
        <v>68</v>
      </c>
      <c r="G19" s="3" t="str">
        <f t="shared" si="0"/>
        <v>reduceDmg(214,"减伤固定值"),</v>
      </c>
      <c r="H19" s="3"/>
      <c r="I19" s="3" t="str">
        <f t="shared" si="1"/>
        <v>reduceDmg = 214,//减伤固定值</v>
      </c>
    </row>
    <row r="20" ht="16.5" spans="1:9">
      <c r="A20" s="3">
        <v>215</v>
      </c>
      <c r="B20" s="3" t="s">
        <v>69</v>
      </c>
      <c r="C20" s="3" t="s">
        <v>70</v>
      </c>
      <c r="D20" s="3">
        <v>10000</v>
      </c>
      <c r="E20" s="3">
        <v>2</v>
      </c>
      <c r="F20" s="3" t="s">
        <v>71</v>
      </c>
      <c r="G20" s="3" t="str">
        <f t="shared" si="0"/>
        <v>reduceDmgRate(215,"伤害减免"),</v>
      </c>
      <c r="H20" s="3"/>
      <c r="I20" s="3" t="str">
        <f t="shared" si="1"/>
        <v>reduceDmgRate = 215,//伤害减免</v>
      </c>
    </row>
    <row r="21" ht="16.5" spans="1:9">
      <c r="A21" s="3">
        <v>216</v>
      </c>
      <c r="B21" s="3" t="s">
        <v>72</v>
      </c>
      <c r="C21" s="3" t="s">
        <v>73</v>
      </c>
      <c r="D21" s="3">
        <v>10000</v>
      </c>
      <c r="E21" s="3">
        <v>2</v>
      </c>
      <c r="F21" s="3" t="s">
        <v>74</v>
      </c>
      <c r="G21" s="3" t="str">
        <f t="shared" si="0"/>
        <v>cdSpdRate(216,"冷却时间"),</v>
      </c>
      <c r="H21" s="3"/>
      <c r="I21" s="3" t="str">
        <f t="shared" si="1"/>
        <v>cdSpdRate = 216,//冷却时间</v>
      </c>
    </row>
    <row r="22" ht="16.5" spans="1:9">
      <c r="A22" s="3">
        <v>217</v>
      </c>
      <c r="B22" s="3" t="s">
        <v>75</v>
      </c>
      <c r="C22" s="3" t="s">
        <v>76</v>
      </c>
      <c r="D22" s="3">
        <v>1</v>
      </c>
      <c r="E22" s="3">
        <v>1</v>
      </c>
      <c r="F22" s="3" t="s">
        <v>77</v>
      </c>
      <c r="G22" s="3" t="str">
        <f t="shared" si="0"/>
        <v>moveSpd(217,"移动速度"),</v>
      </c>
      <c r="H22" s="3"/>
      <c r="I22" s="3" t="str">
        <f t="shared" si="1"/>
        <v>moveSpd = 217,//移动速度</v>
      </c>
    </row>
    <row r="23" ht="16.5" spans="1:9">
      <c r="A23" s="3">
        <v>218</v>
      </c>
      <c r="B23" s="3" t="s">
        <v>78</v>
      </c>
      <c r="C23" s="3" t="s">
        <v>79</v>
      </c>
      <c r="D23" s="3">
        <v>10000</v>
      </c>
      <c r="E23" s="3">
        <v>2</v>
      </c>
      <c r="F23" s="3" t="s">
        <v>80</v>
      </c>
      <c r="G23" s="3" t="str">
        <f t="shared" si="0"/>
        <v>moveSpdRate(218,"移动速度加成"),</v>
      </c>
      <c r="H23" s="3"/>
      <c r="I23" s="3" t="str">
        <f t="shared" si="1"/>
        <v>moveSpdRate = 218,//移动速度加成</v>
      </c>
    </row>
    <row r="24" ht="16.5" spans="1:9">
      <c r="A24" s="3">
        <v>219</v>
      </c>
      <c r="B24" s="3" t="s">
        <v>81</v>
      </c>
      <c r="C24" s="3" t="s">
        <v>82</v>
      </c>
      <c r="D24" s="3">
        <v>1</v>
      </c>
      <c r="E24" s="3">
        <v>1</v>
      </c>
      <c r="F24" s="3" t="s">
        <v>83</v>
      </c>
      <c r="G24" s="3" t="str">
        <f t="shared" si="0"/>
        <v>atkSpd(219,"攻击速度"),</v>
      </c>
      <c r="H24" s="3"/>
      <c r="I24" s="3" t="str">
        <f t="shared" si="1"/>
        <v>atkSpd = 219,//攻击速度</v>
      </c>
    </row>
    <row r="25" ht="16.5" spans="1:9">
      <c r="A25" s="3">
        <v>220</v>
      </c>
      <c r="B25" s="3" t="s">
        <v>84</v>
      </c>
      <c r="C25" s="3" t="s">
        <v>85</v>
      </c>
      <c r="D25" s="3">
        <v>10000</v>
      </c>
      <c r="E25" s="3">
        <v>2</v>
      </c>
      <c r="F25" s="3" t="s">
        <v>86</v>
      </c>
      <c r="G25" s="3" t="str">
        <f t="shared" si="0"/>
        <v>atkSpdRate(220,"攻击速度加成"),</v>
      </c>
      <c r="H25" s="3"/>
      <c r="I25" s="3" t="str">
        <f t="shared" si="1"/>
        <v>atkSpdRate = 220,//攻击速度加成</v>
      </c>
    </row>
    <row r="26" ht="16.5" spans="1:9">
      <c r="A26" s="3">
        <v>221</v>
      </c>
      <c r="B26" s="3" t="s">
        <v>87</v>
      </c>
      <c r="C26" s="3" t="s">
        <v>88</v>
      </c>
      <c r="D26" s="3">
        <v>10000</v>
      </c>
      <c r="E26" s="3">
        <v>2</v>
      </c>
      <c r="F26" s="3" t="s">
        <v>89</v>
      </c>
      <c r="G26" s="3" t="str">
        <f t="shared" si="0"/>
        <v>dmgbl(221,"技能伤害加成"),</v>
      </c>
      <c r="H26" s="3"/>
      <c r="I26" s="3" t="str">
        <f t="shared" si="1"/>
        <v>dmgbl = 221,//技能伤害加成</v>
      </c>
    </row>
    <row r="27" ht="16.5" spans="1:9">
      <c r="A27" s="3">
        <v>222</v>
      </c>
      <c r="B27" s="3" t="s">
        <v>90</v>
      </c>
      <c r="C27" s="3" t="s">
        <v>91</v>
      </c>
      <c r="D27" s="3">
        <v>1</v>
      </c>
      <c r="E27" s="3">
        <v>3</v>
      </c>
      <c r="F27" s="3" t="s">
        <v>92</v>
      </c>
      <c r="G27" s="3" t="str">
        <f t="shared" si="0"/>
        <v>dmg(222,"增伤固定值"),</v>
      </c>
      <c r="H27" s="3"/>
      <c r="I27" s="3" t="str">
        <f t="shared" si="1"/>
        <v>dmg = 222,//增伤固定值</v>
      </c>
    </row>
    <row r="28" ht="16.5" spans="1:9">
      <c r="A28" s="3">
        <v>223</v>
      </c>
      <c r="B28" s="3" t="s">
        <v>93</v>
      </c>
      <c r="C28" s="3" t="s">
        <v>94</v>
      </c>
      <c r="D28" s="3">
        <v>10000</v>
      </c>
      <c r="E28" s="3">
        <v>3</v>
      </c>
      <c r="F28" s="3" t="s">
        <v>95</v>
      </c>
      <c r="G28" s="3" t="str">
        <f t="shared" si="0"/>
        <v>llmaxRate(223,"人族生命加成"),</v>
      </c>
      <c r="H28" s="3"/>
      <c r="I28" s="3" t="str">
        <f t="shared" si="1"/>
        <v>llmaxRate = 223,//人族生命加成</v>
      </c>
    </row>
    <row r="29" ht="16.5" spans="1:9">
      <c r="A29" s="3">
        <v>224</v>
      </c>
      <c r="B29" s="3" t="s">
        <v>96</v>
      </c>
      <c r="C29" s="3" t="s">
        <v>97</v>
      </c>
      <c r="D29" s="3">
        <v>10000</v>
      </c>
      <c r="E29" s="3">
        <v>3</v>
      </c>
      <c r="F29" s="3" t="s">
        <v>95</v>
      </c>
      <c r="G29" s="3" t="str">
        <f t="shared" si="0"/>
        <v>lldmgRate(224,"人族伤害加成"),</v>
      </c>
      <c r="H29" s="3"/>
      <c r="I29" s="3" t="str">
        <f t="shared" si="1"/>
        <v>lldmgRate = 224,//人族伤害加成</v>
      </c>
    </row>
    <row r="30" ht="16.5" spans="1:9">
      <c r="A30" s="3">
        <v>225</v>
      </c>
      <c r="B30" s="3" t="s">
        <v>98</v>
      </c>
      <c r="C30" s="3" t="s">
        <v>99</v>
      </c>
      <c r="D30" s="3">
        <v>10000</v>
      </c>
      <c r="E30" s="3">
        <v>3</v>
      </c>
      <c r="F30" s="3" t="s">
        <v>95</v>
      </c>
      <c r="G30" s="3" t="str">
        <f t="shared" si="0"/>
        <v>mjmaxRate(225,"灵族生命加成"),</v>
      </c>
      <c r="H30" s="3"/>
      <c r="I30" s="3" t="str">
        <f t="shared" si="1"/>
        <v>mjmaxRate = 225,//灵族生命加成</v>
      </c>
    </row>
    <row r="31" ht="16.5" spans="1:9">
      <c r="A31" s="3">
        <v>226</v>
      </c>
      <c r="B31" s="3" t="s">
        <v>100</v>
      </c>
      <c r="C31" s="3" t="s">
        <v>101</v>
      </c>
      <c r="D31" s="3">
        <v>10000</v>
      </c>
      <c r="E31" s="3">
        <v>3</v>
      </c>
      <c r="F31" s="3" t="s">
        <v>95</v>
      </c>
      <c r="G31" s="3" t="str">
        <f t="shared" si="0"/>
        <v>mjdmgRate(226,"灵族伤害加成"),</v>
      </c>
      <c r="H31" s="3"/>
      <c r="I31" s="3" t="str">
        <f t="shared" si="1"/>
        <v>mjdmgRate = 226,//灵族伤害加成</v>
      </c>
    </row>
    <row r="32" ht="16.5" spans="1:9">
      <c r="A32" s="3">
        <v>227</v>
      </c>
      <c r="B32" s="3" t="s">
        <v>102</v>
      </c>
      <c r="C32" s="3" t="s">
        <v>103</v>
      </c>
      <c r="D32" s="3">
        <v>10000</v>
      </c>
      <c r="E32" s="3">
        <v>3</v>
      </c>
      <c r="F32" s="3" t="s">
        <v>95</v>
      </c>
      <c r="G32" s="3" t="str">
        <f t="shared" si="0"/>
        <v>zlmaxRate(227,"仙族生命加成"),</v>
      </c>
      <c r="H32" s="3"/>
      <c r="I32" s="3" t="str">
        <f t="shared" si="1"/>
        <v>zlmaxRate = 227,//仙族生命加成</v>
      </c>
    </row>
    <row r="33" ht="16.5" spans="1:9">
      <c r="A33" s="3">
        <v>228</v>
      </c>
      <c r="B33" s="3" t="s">
        <v>104</v>
      </c>
      <c r="C33" s="3" t="s">
        <v>105</v>
      </c>
      <c r="D33" s="3">
        <v>10000</v>
      </c>
      <c r="E33" s="3">
        <v>3</v>
      </c>
      <c r="F33" s="3" t="s">
        <v>95</v>
      </c>
      <c r="G33" s="3" t="str">
        <f t="shared" si="0"/>
        <v>zldmgRate(228,"仙族伤害加成"),</v>
      </c>
      <c r="H33" s="3"/>
      <c r="I33" s="3" t="str">
        <f t="shared" si="1"/>
        <v>zldmgRate = 228,//仙族伤害加成</v>
      </c>
    </row>
    <row r="34" ht="16.5" spans="1:9">
      <c r="A34" s="3">
        <v>229</v>
      </c>
      <c r="B34" s="3" t="s">
        <v>106</v>
      </c>
      <c r="C34" s="3" t="s">
        <v>107</v>
      </c>
      <c r="D34" s="3">
        <v>1</v>
      </c>
      <c r="E34" s="3">
        <v>0</v>
      </c>
      <c r="F34" s="3" t="s">
        <v>108</v>
      </c>
      <c r="G34" s="3" t="str">
        <f t="shared" si="0"/>
        <v>woodDmg(229,"伐木伤害"),</v>
      </c>
      <c r="H34" s="3"/>
      <c r="I34" s="3" t="str">
        <f t="shared" si="1"/>
        <v>woodDmg = 229,//伐木伤害</v>
      </c>
    </row>
    <row r="35" ht="16.5" spans="1:9">
      <c r="A35" s="3">
        <v>230</v>
      </c>
      <c r="B35" s="3" t="s">
        <v>109</v>
      </c>
      <c r="C35" s="3" t="s">
        <v>110</v>
      </c>
      <c r="D35" s="3">
        <v>1</v>
      </c>
      <c r="E35" s="3">
        <v>0</v>
      </c>
      <c r="F35" s="3" t="s">
        <v>111</v>
      </c>
      <c r="G35" s="3" t="str">
        <f t="shared" si="0"/>
        <v>mineDmg(230,"挖矿伤害"),</v>
      </c>
      <c r="H35" s="3"/>
      <c r="I35" s="3" t="str">
        <f t="shared" si="1"/>
        <v>mineDmg = 230,//挖矿伤害</v>
      </c>
    </row>
    <row r="36" ht="16.5" spans="1:9">
      <c r="A36" s="3">
        <v>231</v>
      </c>
      <c r="B36" s="3" t="s">
        <v>112</v>
      </c>
      <c r="C36" s="3" t="s">
        <v>113</v>
      </c>
      <c r="D36" s="3">
        <v>1</v>
      </c>
      <c r="E36" s="3">
        <v>3</v>
      </c>
      <c r="F36" s="3" t="s">
        <v>95</v>
      </c>
      <c r="G36" s="3" t="str">
        <f t="shared" si="0"/>
        <v>llmax(231,"人族生命固定值"),</v>
      </c>
      <c r="H36" s="3"/>
      <c r="I36" s="3" t="str">
        <f t="shared" si="1"/>
        <v>llmax = 231,//人族生命固定值</v>
      </c>
    </row>
    <row r="37" ht="16.5" spans="1:9">
      <c r="A37" s="3">
        <v>232</v>
      </c>
      <c r="B37" s="3" t="s">
        <v>114</v>
      </c>
      <c r="C37" s="3" t="s">
        <v>115</v>
      </c>
      <c r="D37" s="3">
        <v>1</v>
      </c>
      <c r="E37" s="3">
        <v>3</v>
      </c>
      <c r="F37" s="3" t="s">
        <v>95</v>
      </c>
      <c r="G37" s="3" t="str">
        <f t="shared" si="0"/>
        <v>lldmg(232,"人族攻击固定值"),</v>
      </c>
      <c r="H37" s="3"/>
      <c r="I37" s="3" t="str">
        <f t="shared" si="1"/>
        <v>lldmg = 232,//人族攻击固定值</v>
      </c>
    </row>
    <row r="38" ht="16.5" spans="1:9">
      <c r="A38" s="3">
        <v>233</v>
      </c>
      <c r="B38" s="3" t="s">
        <v>116</v>
      </c>
      <c r="C38" s="3" t="s">
        <v>117</v>
      </c>
      <c r="D38" s="3">
        <v>1</v>
      </c>
      <c r="E38" s="3">
        <v>3</v>
      </c>
      <c r="F38" s="3" t="s">
        <v>95</v>
      </c>
      <c r="G38" s="3" t="str">
        <f t="shared" si="0"/>
        <v>mjmax(233,"灵族生命固定值"),</v>
      </c>
      <c r="H38" s="3"/>
      <c r="I38" s="3" t="str">
        <f t="shared" si="1"/>
        <v>mjmax = 233,//灵族生命固定值</v>
      </c>
    </row>
    <row r="39" ht="16.5" spans="1:9">
      <c r="A39" s="3">
        <v>234</v>
      </c>
      <c r="B39" s="3" t="s">
        <v>118</v>
      </c>
      <c r="C39" s="3" t="s">
        <v>119</v>
      </c>
      <c r="D39" s="3">
        <v>1</v>
      </c>
      <c r="E39" s="3">
        <v>3</v>
      </c>
      <c r="F39" s="3" t="s">
        <v>95</v>
      </c>
      <c r="G39" s="3" t="str">
        <f t="shared" si="0"/>
        <v>mjdmg(234,"灵族攻击固定值"),</v>
      </c>
      <c r="H39" s="3"/>
      <c r="I39" s="3" t="str">
        <f t="shared" si="1"/>
        <v>mjdmg = 234,//灵族攻击固定值</v>
      </c>
    </row>
    <row r="40" ht="16.5" spans="1:9">
      <c r="A40" s="3">
        <v>235</v>
      </c>
      <c r="B40" s="3" t="s">
        <v>120</v>
      </c>
      <c r="C40" s="3" t="s">
        <v>121</v>
      </c>
      <c r="D40" s="3">
        <v>1</v>
      </c>
      <c r="E40" s="3">
        <v>3</v>
      </c>
      <c r="F40" s="3" t="s">
        <v>95</v>
      </c>
      <c r="G40" s="3" t="str">
        <f t="shared" si="0"/>
        <v>zlmax(235,"仙族生命固定值"),</v>
      </c>
      <c r="H40" s="3"/>
      <c r="I40" s="3" t="str">
        <f t="shared" si="1"/>
        <v>zlmax = 235,//仙族生命固定值</v>
      </c>
    </row>
    <row r="41" ht="16.5" spans="1:9">
      <c r="A41" s="3">
        <v>236</v>
      </c>
      <c r="B41" s="3" t="s">
        <v>122</v>
      </c>
      <c r="C41" s="3" t="s">
        <v>123</v>
      </c>
      <c r="D41" s="3">
        <v>1</v>
      </c>
      <c r="E41" s="3">
        <v>3</v>
      </c>
      <c r="F41" s="3" t="s">
        <v>95</v>
      </c>
      <c r="G41" s="3" t="str">
        <f t="shared" si="0"/>
        <v>zldmg(236,"仙族攻击固定值"),</v>
      </c>
      <c r="H41" s="3"/>
      <c r="I41" s="3" t="str">
        <f t="shared" si="1"/>
        <v>zldmg = 236,//仙族攻击固定值</v>
      </c>
    </row>
    <row r="42" ht="16.5" spans="1:9">
      <c r="A42" s="3">
        <v>237</v>
      </c>
      <c r="B42" s="3" t="s">
        <v>124</v>
      </c>
      <c r="C42" s="3" t="s">
        <v>125</v>
      </c>
      <c r="D42" s="3">
        <v>1</v>
      </c>
      <c r="E42" s="3">
        <v>0</v>
      </c>
      <c r="F42" s="3" t="s">
        <v>124</v>
      </c>
      <c r="G42" s="3" t="str">
        <f t="shared" si="0"/>
        <v>battleRange(237,"进战范围"),</v>
      </c>
      <c r="H42" s="3"/>
      <c r="I42" s="3" t="str">
        <f t="shared" si="1"/>
        <v>battleRange = 237,//进战范围</v>
      </c>
    </row>
    <row r="43" ht="16.5" spans="1:9">
      <c r="A43" s="3">
        <v>238</v>
      </c>
      <c r="B43" s="3" t="s">
        <v>126</v>
      </c>
      <c r="C43" s="3" t="s">
        <v>127</v>
      </c>
      <c r="D43" s="3">
        <v>10000</v>
      </c>
      <c r="E43" s="3">
        <v>3</v>
      </c>
      <c r="F43" s="3" t="s">
        <v>128</v>
      </c>
      <c r="G43" s="3" t="str">
        <f t="shared" si="0"/>
        <v>llpvedmg(238,"人族伙伴对怪物伤害加成"),</v>
      </c>
      <c r="H43" s="3"/>
      <c r="I43" s="3" t="str">
        <f t="shared" si="1"/>
        <v>llpvedmg = 238,//人族伙伴对怪物伤害加成</v>
      </c>
    </row>
    <row r="44" ht="16.5" spans="1:9">
      <c r="A44" s="3">
        <v>239</v>
      </c>
      <c r="B44" s="3" t="s">
        <v>129</v>
      </c>
      <c r="C44" s="3" t="s">
        <v>130</v>
      </c>
      <c r="D44" s="3">
        <v>10000</v>
      </c>
      <c r="E44" s="3">
        <v>3</v>
      </c>
      <c r="F44" s="3" t="s">
        <v>128</v>
      </c>
      <c r="G44" s="3" t="str">
        <f t="shared" si="0"/>
        <v>mjpvedmg(239,"灵族伙伴对怪物伤害加成"),</v>
      </c>
      <c r="H44" s="3"/>
      <c r="I44" s="3" t="str">
        <f t="shared" si="1"/>
        <v>mjpvedmg = 239,//灵族伙伴对怪物伤害加成</v>
      </c>
    </row>
    <row r="45" ht="16.5" spans="1:9">
      <c r="A45" s="3">
        <v>240</v>
      </c>
      <c r="B45" s="3" t="s">
        <v>131</v>
      </c>
      <c r="C45" s="3" t="s">
        <v>132</v>
      </c>
      <c r="D45" s="3">
        <v>10000</v>
      </c>
      <c r="E45" s="3">
        <v>3</v>
      </c>
      <c r="F45" s="3" t="s">
        <v>128</v>
      </c>
      <c r="G45" s="3" t="str">
        <f t="shared" si="0"/>
        <v>zlpvedmg(240,"仙族伙伴对怪物伤害加成"),</v>
      </c>
      <c r="H45" s="3"/>
      <c r="I45" s="3" t="str">
        <f t="shared" si="1"/>
        <v>zlpvedmg = 240,//仙族伙伴对怪物伤害加成</v>
      </c>
    </row>
    <row r="46" ht="16.5" spans="1:9">
      <c r="A46" s="3">
        <v>241</v>
      </c>
      <c r="B46" s="3" t="s">
        <v>133</v>
      </c>
      <c r="C46" s="3" t="s">
        <v>134</v>
      </c>
      <c r="D46" s="3">
        <v>10000</v>
      </c>
      <c r="E46" s="3">
        <v>3</v>
      </c>
      <c r="F46" s="3" t="s">
        <v>128</v>
      </c>
      <c r="G46" s="3" t="str">
        <f t="shared" si="0"/>
        <v>pvedmg(241,"对怪物伤害加成"),</v>
      </c>
      <c r="H46" s="3"/>
      <c r="I46" s="3" t="str">
        <f t="shared" si="1"/>
        <v>pvedmg = 241,//对怪物伤害加成</v>
      </c>
    </row>
    <row r="47" ht="16.5" spans="1:9">
      <c r="A47" s="3">
        <v>242</v>
      </c>
      <c r="B47" s="3" t="s">
        <v>135</v>
      </c>
      <c r="C47" s="3" t="s">
        <v>136</v>
      </c>
      <c r="D47" s="3">
        <v>1</v>
      </c>
      <c r="E47" s="3">
        <v>0</v>
      </c>
      <c r="F47" s="3" t="s">
        <v>137</v>
      </c>
      <c r="G47" s="3" t="str">
        <f t="shared" si="0"/>
        <v>fovRange(242,"视野范围"),</v>
      </c>
      <c r="H47" s="3"/>
      <c r="I47" s="3" t="str">
        <f t="shared" si="1"/>
        <v>fovRange = 242,//视野范围</v>
      </c>
    </row>
    <row r="48" ht="16.5" spans="1:9">
      <c r="A48" s="3">
        <v>243</v>
      </c>
      <c r="B48" s="3" t="s">
        <v>138</v>
      </c>
      <c r="C48" s="3" t="s">
        <v>139</v>
      </c>
      <c r="D48" s="3">
        <v>10000</v>
      </c>
      <c r="E48" s="3">
        <v>2</v>
      </c>
      <c r="F48" s="3" t="s">
        <v>140</v>
      </c>
      <c r="G48" s="3" t="str">
        <f t="shared" si="0"/>
        <v>reducecrit(243,"暴击抵抗"),</v>
      </c>
      <c r="H48" s="3"/>
      <c r="I48" s="3" t="str">
        <f t="shared" si="1"/>
        <v>reducecrit = 243,//暴击抵抗</v>
      </c>
    </row>
    <row r="49" ht="16.5" spans="1:9">
      <c r="A49" s="3">
        <v>301</v>
      </c>
      <c r="B49" s="3" t="s">
        <v>141</v>
      </c>
      <c r="C49" s="3" t="s">
        <v>142</v>
      </c>
      <c r="D49" s="3">
        <v>10000</v>
      </c>
      <c r="E49" s="3">
        <v>3</v>
      </c>
      <c r="F49" s="3" t="s">
        <v>141</v>
      </c>
      <c r="G49" s="3" t="str">
        <f t="shared" si="0"/>
        <v>hpBrate(301,"某养成系统内基础生命加成"),</v>
      </c>
      <c r="H49" s="3"/>
      <c r="I49" s="3" t="str">
        <f t="shared" si="1"/>
        <v>hpBrate = 301,//某养成系统内基础生命加成</v>
      </c>
    </row>
    <row r="50" ht="16.5" spans="1:9">
      <c r="A50" s="3">
        <v>302</v>
      </c>
      <c r="B50" s="3" t="s">
        <v>143</v>
      </c>
      <c r="C50" s="3" t="s">
        <v>144</v>
      </c>
      <c r="D50" s="3">
        <v>10000</v>
      </c>
      <c r="E50" s="3">
        <v>3</v>
      </c>
      <c r="F50" s="3" t="s">
        <v>143</v>
      </c>
      <c r="G50" s="3" t="str">
        <f t="shared" si="0"/>
        <v>atkBrate(302,"某养成系统内基础攻击加成"),</v>
      </c>
      <c r="H50" s="3"/>
      <c r="I50" s="3" t="str">
        <f t="shared" si="1"/>
        <v>atkBrate = 302,//某养成系统内基础攻击加成</v>
      </c>
    </row>
  </sheetData>
  <conditionalFormatting sqref="C43">
    <cfRule type="duplicateValues" dxfId="0" priority="1"/>
  </conditionalFormatting>
  <conditionalFormatting sqref="C44">
    <cfRule type="duplicateValues" dxfId="0" priority="3"/>
  </conditionalFormatting>
  <conditionalFormatting sqref="C45">
    <cfRule type="duplicateValues" dxfId="0" priority="2"/>
  </conditionalFormatting>
  <conditionalFormatting sqref="C26:C35">
    <cfRule type="duplicateValues" dxfId="0" priority="10"/>
  </conditionalFormatting>
  <conditionalFormatting sqref="C36:C41">
    <cfRule type="duplicateValues" dxfId="0" priority="6"/>
  </conditionalFormatting>
  <conditionalFormatting sqref="A1:A3 A5:A35 A41 A37 A39 A43:A1048576">
    <cfRule type="duplicateValues" dxfId="0" priority="8"/>
  </conditionalFormatting>
  <conditionalFormatting sqref="A1:A3 A5:A1048576">
    <cfRule type="duplicateValues" dxfId="0" priority="4"/>
  </conditionalFormatting>
  <conditionalFormatting sqref="A36 A38 A40 A42 A44">
    <cfRule type="duplicateValues" dxfId="0" priority="5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2024-06-04T02:36:45Z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04DA83D0980A4D0193D041D93F5D39C5_12</vt:lpwstr>
  </property>
</Properties>
</file>